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a41c3e9384a9d/Trabalho - SEPLAN RR/DIEAS/Escala 6x1/"/>
    </mc:Choice>
  </mc:AlternateContent>
  <xr:revisionPtr revIDLastSave="3" documentId="8_{BE00BCC2-1A87-42DE-AC1F-C05BBA825324}" xr6:coauthVersionLast="47" xr6:coauthVersionMax="47" xr10:uidLastSave="{E3405F4B-EE12-4415-9AA4-E7517221E8B8}"/>
  <bookViews>
    <workbookView xWindow="-23760" yWindow="1275" windowWidth="16200" windowHeight="13170" xr2:uid="{C6ABF24A-6D56-44B5-9C00-1C521BBFB331}"/>
  </bookViews>
  <sheets>
    <sheet name="Dados Inicias - Formais" sheetId="1" r:id="rId1"/>
    <sheet name="Planilha2" sheetId="2" r:id="rId2"/>
    <sheet name="Planilha3" sheetId="3" r:id="rId3"/>
    <sheet name="Planilha4" sheetId="4" r:id="rId4"/>
  </sheets>
  <externalReferences>
    <externalReference r:id="rId5"/>
  </externalReferences>
  <definedNames>
    <definedName name="_xlnm._FilterDatabase" localSheetId="0" hidden="1">'Dados Inicias - Formais'!$A$2:$G$2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G65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44" i="1"/>
  <c r="G44" i="1" s="1"/>
  <c r="F34" i="1"/>
  <c r="G34" i="1" s="1"/>
  <c r="F84" i="1"/>
  <c r="G84" i="1" s="1"/>
  <c r="F93" i="1"/>
  <c r="G93" i="1" s="1"/>
  <c r="F39" i="1"/>
  <c r="G39" i="1" s="1"/>
  <c r="F94" i="1"/>
  <c r="G94" i="1" s="1"/>
  <c r="F95" i="1"/>
  <c r="G95" i="1" s="1"/>
  <c r="F78" i="1"/>
  <c r="G78" i="1" s="1"/>
  <c r="F96" i="1"/>
  <c r="G96" i="1" s="1"/>
  <c r="F86" i="1"/>
  <c r="G86" i="1" s="1"/>
  <c r="F97" i="1"/>
  <c r="G97" i="1" s="1"/>
  <c r="F62" i="1"/>
  <c r="G62" i="1" s="1"/>
  <c r="F29" i="1"/>
  <c r="G29" i="1" s="1"/>
  <c r="F32" i="1"/>
  <c r="G32" i="1" s="1"/>
  <c r="F98" i="1"/>
  <c r="G98" i="1" s="1"/>
  <c r="F99" i="1"/>
  <c r="G99" i="1" s="1"/>
  <c r="F100" i="1"/>
  <c r="G100" i="1" s="1"/>
  <c r="F72" i="1"/>
  <c r="G72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55" i="1"/>
  <c r="G55" i="1" s="1"/>
  <c r="F108" i="1"/>
  <c r="G108" i="1" s="1"/>
  <c r="F82" i="1"/>
  <c r="G82" i="1" s="1"/>
  <c r="F51" i="1"/>
  <c r="G51" i="1" s="1"/>
  <c r="F26" i="1"/>
  <c r="G26" i="1" s="1"/>
  <c r="F109" i="1"/>
  <c r="G109" i="1" s="1"/>
  <c r="F110" i="1"/>
  <c r="G110" i="1" s="1"/>
  <c r="F41" i="1"/>
  <c r="G41" i="1" s="1"/>
  <c r="F111" i="1"/>
  <c r="G111" i="1" s="1"/>
  <c r="F112" i="1"/>
  <c r="G112" i="1" s="1"/>
  <c r="F79" i="1"/>
  <c r="G79" i="1" s="1"/>
  <c r="F113" i="1"/>
  <c r="G113" i="1" s="1"/>
  <c r="F28" i="1"/>
  <c r="G28" i="1" s="1"/>
  <c r="F114" i="1"/>
  <c r="G114" i="1" s="1"/>
  <c r="F71" i="1"/>
  <c r="G71" i="1" s="1"/>
  <c r="F18" i="1"/>
  <c r="G18" i="1" s="1"/>
  <c r="F22" i="1"/>
  <c r="G22" i="1" s="1"/>
  <c r="F25" i="1"/>
  <c r="G25" i="1" s="1"/>
  <c r="F23" i="1"/>
  <c r="G23" i="1" s="1"/>
  <c r="F27" i="1"/>
  <c r="G27" i="1" s="1"/>
  <c r="F31" i="1"/>
  <c r="G31" i="1" s="1"/>
  <c r="F43" i="1"/>
  <c r="G43" i="1" s="1"/>
  <c r="F35" i="1"/>
  <c r="G35" i="1" s="1"/>
  <c r="F4" i="1"/>
  <c r="G4" i="1" s="1"/>
  <c r="F81" i="1"/>
  <c r="G81" i="1" s="1"/>
  <c r="F6" i="1"/>
  <c r="G6" i="1" s="1"/>
  <c r="F9" i="1"/>
  <c r="G9" i="1" s="1"/>
  <c r="F14" i="1"/>
  <c r="G14" i="1" s="1"/>
  <c r="F10" i="1"/>
  <c r="G10" i="1" s="1"/>
  <c r="F53" i="1"/>
  <c r="G53" i="1" s="1"/>
  <c r="F19" i="1"/>
  <c r="G19" i="1" s="1"/>
  <c r="F48" i="1"/>
  <c r="G48" i="1" s="1"/>
  <c r="F33" i="1"/>
  <c r="G33" i="1" s="1"/>
  <c r="F85" i="1"/>
  <c r="G85" i="1" s="1"/>
  <c r="F66" i="1"/>
  <c r="G66" i="1" s="1"/>
  <c r="F30" i="1"/>
  <c r="G30" i="1" s="1"/>
  <c r="F3" i="1"/>
  <c r="G3" i="1" s="1"/>
  <c r="F69" i="1"/>
  <c r="G69" i="1" s="1"/>
  <c r="F115" i="1"/>
  <c r="G115" i="1" s="1"/>
  <c r="F45" i="1"/>
  <c r="G45" i="1" s="1"/>
  <c r="F21" i="1"/>
  <c r="G21" i="1" s="1"/>
  <c r="F57" i="1"/>
  <c r="G57" i="1" s="1"/>
  <c r="F116" i="1"/>
  <c r="G116" i="1" s="1"/>
  <c r="F117" i="1"/>
  <c r="G117" i="1" s="1"/>
  <c r="F118" i="1"/>
  <c r="G118" i="1" s="1"/>
  <c r="F119" i="1"/>
  <c r="G119" i="1" s="1"/>
  <c r="F50" i="1"/>
  <c r="G50" i="1" s="1"/>
  <c r="F5" i="1"/>
  <c r="G5" i="1" s="1"/>
  <c r="F24" i="1"/>
  <c r="G24" i="1" s="1"/>
  <c r="F120" i="1"/>
  <c r="G120" i="1" s="1"/>
  <c r="F121" i="1"/>
  <c r="G121" i="1" s="1"/>
  <c r="F75" i="1"/>
  <c r="G75" i="1" s="1"/>
  <c r="F122" i="1"/>
  <c r="G122" i="1" s="1"/>
  <c r="F123" i="1"/>
  <c r="G123" i="1" s="1"/>
  <c r="F63" i="1"/>
  <c r="G63" i="1" s="1"/>
  <c r="F124" i="1"/>
  <c r="G124" i="1" s="1"/>
  <c r="F74" i="1"/>
  <c r="G74" i="1" s="1"/>
  <c r="F73" i="1"/>
  <c r="G73" i="1" s="1"/>
  <c r="F125" i="1"/>
  <c r="G125" i="1" s="1"/>
  <c r="F36" i="1"/>
  <c r="G36" i="1" s="1"/>
  <c r="F20" i="1"/>
  <c r="G20" i="1" s="1"/>
  <c r="F126" i="1"/>
  <c r="G126" i="1" s="1"/>
  <c r="F59" i="1"/>
  <c r="G59" i="1" s="1"/>
  <c r="F127" i="1"/>
  <c r="G127" i="1" s="1"/>
  <c r="F52" i="1"/>
  <c r="G52" i="1" s="1"/>
  <c r="F49" i="1"/>
  <c r="G49" i="1" s="1"/>
  <c r="F61" i="1"/>
  <c r="G61" i="1" s="1"/>
  <c r="F128" i="1"/>
  <c r="G128" i="1" s="1"/>
  <c r="F12" i="1"/>
  <c r="G12" i="1" s="1"/>
  <c r="F42" i="1"/>
  <c r="G42" i="1" s="1"/>
  <c r="F16" i="1"/>
  <c r="G16" i="1" s="1"/>
  <c r="F129" i="1"/>
  <c r="G129" i="1" s="1"/>
  <c r="F46" i="1"/>
  <c r="G46" i="1" s="1"/>
  <c r="F80" i="1"/>
  <c r="G80" i="1" s="1"/>
  <c r="F83" i="1"/>
  <c r="G83" i="1" s="1"/>
  <c r="F37" i="1"/>
  <c r="G37" i="1" s="1"/>
  <c r="F56" i="1"/>
  <c r="G56" i="1" s="1"/>
  <c r="F7" i="1"/>
  <c r="G7" i="1" s="1"/>
  <c r="F130" i="1"/>
  <c r="G130" i="1" s="1"/>
  <c r="F8" i="1"/>
  <c r="G8" i="1" s="1"/>
  <c r="F76" i="1"/>
  <c r="G76" i="1" s="1"/>
  <c r="F131" i="1"/>
  <c r="G131" i="1" s="1"/>
  <c r="F132" i="1"/>
  <c r="G132" i="1" s="1"/>
  <c r="F13" i="1"/>
  <c r="G13" i="1" s="1"/>
  <c r="F38" i="1"/>
  <c r="G38" i="1" s="1"/>
  <c r="F54" i="1"/>
  <c r="G54" i="1" s="1"/>
  <c r="F133" i="1"/>
  <c r="G133" i="1" s="1"/>
  <c r="F40" i="1"/>
  <c r="G40" i="1" s="1"/>
  <c r="F11" i="1"/>
  <c r="G11" i="1" s="1"/>
  <c r="F15" i="1"/>
  <c r="G15" i="1" s="1"/>
  <c r="F47" i="1"/>
  <c r="G47" i="1" s="1"/>
  <c r="F68" i="1"/>
  <c r="G68" i="1" s="1"/>
  <c r="F134" i="1"/>
  <c r="G134" i="1" s="1"/>
  <c r="F135" i="1"/>
  <c r="G135" i="1" s="1"/>
  <c r="F136" i="1"/>
  <c r="G136" i="1" s="1"/>
  <c r="F137" i="1"/>
  <c r="G137" i="1" s="1"/>
  <c r="F60" i="1"/>
  <c r="G60" i="1" s="1"/>
  <c r="F138" i="1"/>
  <c r="G138" i="1" s="1"/>
  <c r="F139" i="1"/>
  <c r="G139" i="1" s="1"/>
  <c r="F58" i="1"/>
  <c r="G58" i="1" s="1"/>
  <c r="F140" i="1"/>
  <c r="G140" i="1" s="1"/>
  <c r="F67" i="1"/>
  <c r="G67" i="1" s="1"/>
  <c r="F70" i="1"/>
  <c r="G70" i="1" s="1"/>
  <c r="F64" i="1"/>
  <c r="G64" i="1" s="1"/>
  <c r="F141" i="1"/>
  <c r="G141" i="1" s="1"/>
  <c r="F17" i="1"/>
  <c r="G17" i="1" s="1"/>
  <c r="F77" i="1"/>
  <c r="G77" i="1" s="1"/>
  <c r="B17" i="1"/>
  <c r="B141" i="1"/>
  <c r="B64" i="1"/>
  <c r="B70" i="1"/>
  <c r="B67" i="1"/>
  <c r="B140" i="1"/>
  <c r="B58" i="1"/>
  <c r="B139" i="1"/>
  <c r="B138" i="1"/>
  <c r="B60" i="1"/>
  <c r="B137" i="1"/>
  <c r="B136" i="1"/>
  <c r="B135" i="1"/>
  <c r="B134" i="1"/>
  <c r="B68" i="1"/>
  <c r="B47" i="1"/>
  <c r="B15" i="1"/>
  <c r="B11" i="1"/>
  <c r="B40" i="1"/>
  <c r="B133" i="1"/>
  <c r="B54" i="1"/>
  <c r="B38" i="1"/>
  <c r="B13" i="1"/>
  <c r="B132" i="1"/>
  <c r="B131" i="1"/>
  <c r="B76" i="1"/>
  <c r="B8" i="1"/>
  <c r="B130" i="1"/>
  <c r="B7" i="1"/>
  <c r="B56" i="1"/>
  <c r="B37" i="1"/>
  <c r="B83" i="1"/>
  <c r="B80" i="1"/>
  <c r="B46" i="1"/>
  <c r="B129" i="1"/>
  <c r="B16" i="1"/>
  <c r="B42" i="1"/>
  <c r="B12" i="1"/>
  <c r="B128" i="1"/>
  <c r="B61" i="1"/>
  <c r="B49" i="1"/>
  <c r="B52" i="1"/>
  <c r="B127" i="1"/>
  <c r="B59" i="1"/>
  <c r="B126" i="1"/>
  <c r="B20" i="1"/>
  <c r="B36" i="1"/>
  <c r="B125" i="1"/>
  <c r="B73" i="1"/>
  <c r="B74" i="1"/>
  <c r="B124" i="1"/>
  <c r="B63" i="1"/>
  <c r="B123" i="1"/>
  <c r="B122" i="1"/>
  <c r="B75" i="1"/>
  <c r="B121" i="1"/>
  <c r="B120" i="1"/>
  <c r="B24" i="1"/>
  <c r="B5" i="1"/>
  <c r="B50" i="1"/>
  <c r="B119" i="1"/>
  <c r="B118" i="1"/>
  <c r="B117" i="1"/>
  <c r="B116" i="1"/>
  <c r="B57" i="1"/>
  <c r="B21" i="1"/>
  <c r="B45" i="1"/>
  <c r="B115" i="1"/>
  <c r="B69" i="1"/>
  <c r="B3" i="1"/>
  <c r="B30" i="1"/>
  <c r="B66" i="1"/>
  <c r="B85" i="1"/>
  <c r="B33" i="1"/>
  <c r="B48" i="1"/>
  <c r="B19" i="1"/>
  <c r="B53" i="1"/>
  <c r="B10" i="1"/>
  <c r="B14" i="1"/>
  <c r="B9" i="1"/>
  <c r="B6" i="1"/>
  <c r="B81" i="1"/>
  <c r="B4" i="1"/>
  <c r="B35" i="1"/>
  <c r="B43" i="1"/>
  <c r="B31" i="1"/>
  <c r="B27" i="1"/>
  <c r="B23" i="1"/>
  <c r="B25" i="1"/>
  <c r="B22" i="1"/>
  <c r="B18" i="1"/>
  <c r="B71" i="1"/>
  <c r="B114" i="1"/>
  <c r="B28" i="1"/>
  <c r="B113" i="1"/>
  <c r="B79" i="1"/>
  <c r="B112" i="1"/>
  <c r="B111" i="1"/>
  <c r="B41" i="1"/>
  <c r="B110" i="1"/>
  <c r="B109" i="1"/>
  <c r="B26" i="1"/>
  <c r="B51" i="1"/>
  <c r="B82" i="1"/>
  <c r="B108" i="1"/>
  <c r="B55" i="1"/>
  <c r="B107" i="1"/>
  <c r="B106" i="1"/>
  <c r="B105" i="1"/>
  <c r="B104" i="1"/>
  <c r="B103" i="1"/>
  <c r="B102" i="1"/>
  <c r="B101" i="1"/>
  <c r="B72" i="1"/>
  <c r="B100" i="1"/>
  <c r="B99" i="1"/>
  <c r="B98" i="1"/>
  <c r="B32" i="1"/>
  <c r="B29" i="1"/>
  <c r="B62" i="1"/>
  <c r="B97" i="1"/>
  <c r="B86" i="1"/>
  <c r="B96" i="1"/>
  <c r="B78" i="1"/>
  <c r="B95" i="1"/>
  <c r="B94" i="1"/>
  <c r="B39" i="1"/>
  <c r="B93" i="1"/>
  <c r="B84" i="1"/>
  <c r="B34" i="1"/>
  <c r="B44" i="1"/>
  <c r="B92" i="1"/>
  <c r="B91" i="1"/>
  <c r="B90" i="1"/>
  <c r="B89" i="1"/>
  <c r="B88" i="1"/>
  <c r="B87" i="1"/>
  <c r="B65" i="1"/>
  <c r="B77" i="1"/>
</calcChain>
</file>

<file path=xl/sharedStrings.xml><?xml version="1.0" encoding="utf-8"?>
<sst xmlns="http://schemas.openxmlformats.org/spreadsheetml/2006/main" count="8" uniqueCount="8">
  <si>
    <t>COD_CNAE2.0</t>
  </si>
  <si>
    <t>Atividade</t>
  </si>
  <si>
    <t>97000                                                                                                                                                                                                                                                      481,92270</t>
  </si>
  <si>
    <t>36 horas ou menos</t>
  </si>
  <si>
    <t>37 a 40 horas</t>
  </si>
  <si>
    <t>41 horas ou mais</t>
  </si>
  <si>
    <t>Total</t>
  </si>
  <si>
    <t>% afetado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</si>
</sst>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aaa41c3e9384a9d/Trabalho%20-%20SEPLAN%20RR/DIEAS/Escala%206x1/Dados%20iniciais.xlsx" TargetMode="External"/><Relationship Id="rId1" Type="http://schemas.openxmlformats.org/officeDocument/2006/relationships/externalLinkPath" Target="Dados%20inicia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iniciais"/>
      <sheetName val="Planilha1"/>
      <sheetName val="Planilha3"/>
      <sheetName val="Planilha4"/>
    </sheetNames>
    <sheetDataSet>
      <sheetData sheetId="0" refreshError="1"/>
      <sheetData sheetId="1" refreshError="1">
        <row r="1">
          <cell r="A1" t="str">
            <v>COD</v>
          </cell>
          <cell r="B1" t="str">
            <v>Atividade</v>
          </cell>
        </row>
        <row r="2">
          <cell r="A2"/>
          <cell r="B2" t="str">
            <v>AGRICULTURA, PECUÁRIA, CAÇA E SERVIÇOS RELACIONADOS</v>
          </cell>
        </row>
        <row r="3">
          <cell r="A3">
            <v>1101</v>
          </cell>
          <cell r="B3" t="str">
            <v>Cultivo de arroz</v>
          </cell>
        </row>
        <row r="4">
          <cell r="A4">
            <v>1102</v>
          </cell>
          <cell r="B4" t="str">
            <v>Cultivo de milho</v>
          </cell>
        </row>
        <row r="5">
          <cell r="A5">
            <v>1103</v>
          </cell>
          <cell r="B5" t="str">
            <v>Cultivo de outros cereais</v>
          </cell>
        </row>
        <row r="6">
          <cell r="A6">
            <v>1104</v>
          </cell>
          <cell r="B6" t="str">
            <v>Cultivo de algodão</v>
          </cell>
        </row>
        <row r="7">
          <cell r="A7">
            <v>1105</v>
          </cell>
          <cell r="B7" t="str">
            <v>Cultivo de cana-de-açúcar</v>
          </cell>
        </row>
        <row r="8">
          <cell r="A8">
            <v>1106</v>
          </cell>
          <cell r="B8" t="str">
            <v>Cultivo de fumo</v>
          </cell>
        </row>
        <row r="9">
          <cell r="A9">
            <v>1107</v>
          </cell>
          <cell r="B9" t="str">
            <v>Cultivo de soja</v>
          </cell>
        </row>
        <row r="10">
          <cell r="A10">
            <v>1108</v>
          </cell>
          <cell r="B10" t="str">
            <v>Cultivo de mandioca</v>
          </cell>
        </row>
        <row r="11">
          <cell r="A11">
            <v>1109</v>
          </cell>
          <cell r="B11" t="str">
            <v>Cultivo de outras lavouras temporárias não especificadas anteriormente</v>
          </cell>
        </row>
        <row r="12">
          <cell r="A12">
            <v>1110</v>
          </cell>
          <cell r="B12" t="str">
            <v>Horticultura</v>
          </cell>
        </row>
        <row r="13">
          <cell r="A13">
            <v>1111</v>
          </cell>
          <cell r="B13" t="str">
            <v>Cultivo de flores e plantas ornamentais</v>
          </cell>
        </row>
        <row r="14">
          <cell r="A14">
            <v>1112</v>
          </cell>
          <cell r="B14" t="str">
            <v>Cultivo de frutas cítricas</v>
          </cell>
        </row>
        <row r="15">
          <cell r="A15">
            <v>1113</v>
          </cell>
          <cell r="B15" t="str">
            <v>Cultivo de café</v>
          </cell>
        </row>
        <row r="16">
          <cell r="A16">
            <v>1114</v>
          </cell>
          <cell r="B16" t="str">
            <v>Cultivo de cacau</v>
          </cell>
        </row>
        <row r="17">
          <cell r="A17">
            <v>1115</v>
          </cell>
          <cell r="B17" t="str">
            <v>Cultivo de uva</v>
          </cell>
        </row>
        <row r="18">
          <cell r="A18">
            <v>1116</v>
          </cell>
          <cell r="B18" t="str">
            <v>Cultivo de banana</v>
          </cell>
        </row>
        <row r="19">
          <cell r="A19">
            <v>1117</v>
          </cell>
          <cell r="B19" t="str">
            <v>Cultivo de outras plantas e frutas de lavoura permanente não especificadas anteriormente</v>
          </cell>
        </row>
        <row r="20">
          <cell r="A20">
            <v>1118</v>
          </cell>
          <cell r="B20" t="str">
            <v>Produção de sementes e mudas certificadas</v>
          </cell>
        </row>
        <row r="21">
          <cell r="A21">
            <v>1119</v>
          </cell>
          <cell r="B21" t="str">
            <v>Lavoura não especificada</v>
          </cell>
        </row>
        <row r="22">
          <cell r="A22">
            <v>1201</v>
          </cell>
          <cell r="B22" t="str">
            <v>Criação de bovinos</v>
          </cell>
        </row>
        <row r="23">
          <cell r="A23">
            <v>1202</v>
          </cell>
          <cell r="B23" t="str">
            <v>Criação de outros animais de grande porte não especificados anteriormente</v>
          </cell>
        </row>
        <row r="24">
          <cell r="A24">
            <v>1203</v>
          </cell>
          <cell r="B24" t="str">
            <v>Criação de caprinos e ovinos</v>
          </cell>
        </row>
        <row r="25">
          <cell r="A25">
            <v>1204</v>
          </cell>
          <cell r="B25" t="str">
            <v>Criação de suínos</v>
          </cell>
        </row>
        <row r="26">
          <cell r="A26">
            <v>1205</v>
          </cell>
          <cell r="B26" t="str">
            <v>Criação de aves</v>
          </cell>
        </row>
        <row r="27">
          <cell r="A27">
            <v>1206</v>
          </cell>
          <cell r="B27" t="str">
            <v>Apicultura</v>
          </cell>
        </row>
        <row r="28">
          <cell r="A28">
            <v>1207</v>
          </cell>
          <cell r="B28" t="str">
            <v>Sericicultura</v>
          </cell>
        </row>
        <row r="29">
          <cell r="A29">
            <v>1208</v>
          </cell>
          <cell r="B29" t="str">
            <v xml:space="preserve">Criação de outros animais não especificados anteriormente </v>
          </cell>
        </row>
        <row r="30">
          <cell r="A30">
            <v>1209</v>
          </cell>
          <cell r="B30" t="str">
            <v>Pecuária não especificada</v>
          </cell>
        </row>
        <row r="31">
          <cell r="A31">
            <v>1401</v>
          </cell>
          <cell r="B31" t="str">
            <v>Atividades de apoio à agricultura e pós-colheita</v>
          </cell>
        </row>
        <row r="32">
          <cell r="A32">
            <v>1402</v>
          </cell>
          <cell r="B32" t="str">
            <v xml:space="preserve">Atividades de apoio à pecuária </v>
          </cell>
        </row>
        <row r="33">
          <cell r="A33">
            <v>1500</v>
          </cell>
          <cell r="B33" t="str">
            <v>Caça e serviços relacionados</v>
          </cell>
        </row>
        <row r="34">
          <cell r="A34">
            <v>1999</v>
          </cell>
          <cell r="B34" t="str">
            <v>Agropecuária</v>
          </cell>
        </row>
        <row r="35">
          <cell r="A35"/>
          <cell r="B35" t="str">
            <v>PRODUÇÃO FLORESTAL</v>
          </cell>
        </row>
        <row r="36">
          <cell r="A36">
            <v>2000</v>
          </cell>
          <cell r="B36" t="str">
            <v xml:space="preserve">Produção florestal </v>
          </cell>
        </row>
        <row r="37">
          <cell r="A37"/>
          <cell r="B37" t="str">
            <v>PESCA E AQÜICULTURA</v>
          </cell>
        </row>
        <row r="38">
          <cell r="A38">
            <v>3001</v>
          </cell>
          <cell r="B38" t="str">
            <v>Pesca</v>
          </cell>
        </row>
        <row r="39">
          <cell r="A39">
            <v>3002</v>
          </cell>
          <cell r="B39" t="str">
            <v>Aqüicultura</v>
          </cell>
        </row>
        <row r="40">
          <cell r="A40"/>
          <cell r="B40" t="str">
            <v>INDÚSTRIAS EXTRATIVAS</v>
          </cell>
        </row>
        <row r="41">
          <cell r="A41"/>
          <cell r="B41" t="str">
            <v>EXTRAÇÃO DE CARVÃO MINERAL</v>
          </cell>
        </row>
        <row r="42">
          <cell r="A42">
            <v>5000</v>
          </cell>
          <cell r="B42" t="str">
            <v>Extração de carvão mineral</v>
          </cell>
        </row>
        <row r="43">
          <cell r="A43"/>
          <cell r="B43" t="str">
            <v>EXTRAÇÃO DE PETRÓLEO E GÁS NATURAL</v>
          </cell>
        </row>
        <row r="44">
          <cell r="A44">
            <v>6000</v>
          </cell>
          <cell r="B44" t="str">
            <v xml:space="preserve">Extração de petróleo e gás natural </v>
          </cell>
        </row>
        <row r="45">
          <cell r="A45"/>
          <cell r="B45" t="str">
            <v>EXTRAÇÃO DE MINERAIS METÁLICOS</v>
          </cell>
        </row>
        <row r="46">
          <cell r="A46">
            <v>7001</v>
          </cell>
          <cell r="B46" t="str">
            <v>Extração de minérios de metais preciosos</v>
          </cell>
        </row>
        <row r="47">
          <cell r="A47">
            <v>7002</v>
          </cell>
          <cell r="B47" t="str">
            <v xml:space="preserve">Extração de minerais metálicos não especificados anteriormente </v>
          </cell>
        </row>
        <row r="48">
          <cell r="A48"/>
          <cell r="B48" t="str">
            <v>EXTRAÇÃO DE MINERAIS NÃO-METÁLICOS</v>
          </cell>
        </row>
        <row r="49">
          <cell r="A49">
            <v>8001</v>
          </cell>
          <cell r="B49" t="str">
            <v>Extração de pedras, areia e argila</v>
          </cell>
        </row>
        <row r="50">
          <cell r="A50">
            <v>8002</v>
          </cell>
          <cell r="B50" t="str">
            <v>Extração de gemas (pedras preciosas e semi-preciosas)</v>
          </cell>
        </row>
        <row r="51">
          <cell r="A51">
            <v>8009</v>
          </cell>
          <cell r="B51" t="str">
            <v xml:space="preserve">Extração de minerais não metálicos não especificados anteriormente </v>
          </cell>
        </row>
        <row r="52">
          <cell r="A52"/>
          <cell r="B52" t="str">
            <v>ATIVIDADES DE APOIO À EXTRAÇÃO DE MINERAIS</v>
          </cell>
        </row>
        <row r="53">
          <cell r="A53">
            <v>9000</v>
          </cell>
          <cell r="B53" t="str">
            <v>Atividades de apoio à extração de minerais</v>
          </cell>
        </row>
        <row r="54">
          <cell r="A54"/>
          <cell r="B54" t="str">
            <v>INDÚSTRIAS DE TRANSFORMAÇÃO</v>
          </cell>
        </row>
        <row r="55">
          <cell r="A55"/>
          <cell r="B55" t="str">
            <v>FABRICAÇÃO DE PRODUTOS ALIMENTÍCIOS</v>
          </cell>
        </row>
        <row r="56">
          <cell r="A56">
            <v>10010</v>
          </cell>
          <cell r="B56" t="str">
            <v xml:space="preserve">Abate e fabricação de produtos de carne e pescado </v>
          </cell>
        </row>
        <row r="57">
          <cell r="A57">
            <v>10021</v>
          </cell>
          <cell r="B57" t="str">
            <v>Fabricação de conservas de frutas, legumes e outros vegetais</v>
          </cell>
        </row>
        <row r="58">
          <cell r="A58">
            <v>10022</v>
          </cell>
          <cell r="B58" t="str">
            <v>Fabricação de óleos vegetais e gorduras vegetais e animais</v>
          </cell>
        </row>
        <row r="59">
          <cell r="A59">
            <v>10030</v>
          </cell>
          <cell r="B59" t="str">
            <v>Laticínios</v>
          </cell>
        </row>
        <row r="60">
          <cell r="A60">
            <v>10091</v>
          </cell>
          <cell r="B60" t="str">
            <v>Moagem, fabricação de produtos amiláceos e de alimentos para animais</v>
          </cell>
        </row>
        <row r="61">
          <cell r="A61">
            <v>10092</v>
          </cell>
          <cell r="B61" t="str">
            <v>Fabricação e refino do açúcar</v>
          </cell>
        </row>
        <row r="62">
          <cell r="A62">
            <v>10093</v>
          </cell>
          <cell r="B62" t="str">
            <v>Torrefação e moagem de café</v>
          </cell>
        </row>
        <row r="63">
          <cell r="A63">
            <v>10099</v>
          </cell>
          <cell r="B63" t="str">
            <v>Fabricação de outros produtos alimentícios</v>
          </cell>
        </row>
        <row r="64">
          <cell r="A64"/>
          <cell r="B64" t="str">
            <v>FABRICAÇÃO DE BEBIDAS</v>
          </cell>
        </row>
        <row r="65">
          <cell r="A65">
            <v>11000</v>
          </cell>
          <cell r="B65" t="str">
            <v>Fabricação de bebidas</v>
          </cell>
        </row>
        <row r="66">
          <cell r="A66"/>
          <cell r="B66" t="str">
            <v>FABRICAÇÃO DE PRODUTOS DO FUMO</v>
          </cell>
        </row>
        <row r="67">
          <cell r="A67">
            <v>12000</v>
          </cell>
          <cell r="B67" t="str">
            <v>Processamento industrial e fabricação de produtos do fumo</v>
          </cell>
        </row>
        <row r="68">
          <cell r="A68"/>
          <cell r="B68" t="str">
            <v>FABRICAÇÃO DE PRODUTOS TÊXTEIS</v>
          </cell>
        </row>
        <row r="69">
          <cell r="A69">
            <v>13001</v>
          </cell>
          <cell r="B69" t="str">
            <v>Preparação de fibras, fiação e tecelagem</v>
          </cell>
        </row>
        <row r="70">
          <cell r="A70">
            <v>13002</v>
          </cell>
          <cell r="B70" t="str">
            <v>Fabricação de artefatos têxteis, exceto vestuário</v>
          </cell>
        </row>
        <row r="71">
          <cell r="A71"/>
          <cell r="B71" t="str">
            <v>CONFECÇÃO DE ARTIGOS DO VESTUÁRIO E ACESSÓRIOS</v>
          </cell>
        </row>
        <row r="72">
          <cell r="A72">
            <v>14001</v>
          </cell>
          <cell r="B72" t="str">
            <v>Confecção de artigos do vestuário e acessórios, exceto sob medida</v>
          </cell>
        </row>
        <row r="73">
          <cell r="A73">
            <v>14002</v>
          </cell>
          <cell r="B73" t="str">
            <v>Confecção, sob medida, de artigos do vestuário</v>
          </cell>
        </row>
        <row r="74">
          <cell r="A74"/>
          <cell r="B74" t="str">
            <v>PREPARAÇÃO DE COUROS E FABRICAÇÃO DE ARTEFATOS DE COURO, ARTIGOS DE VIAGEM E CALÇADOS</v>
          </cell>
        </row>
        <row r="75">
          <cell r="A75">
            <v>15011</v>
          </cell>
          <cell r="B75" t="str">
            <v>Curtimento e outras preparações de couro</v>
          </cell>
        </row>
        <row r="76">
          <cell r="A76">
            <v>15012</v>
          </cell>
          <cell r="B76" t="str">
            <v>Fabricação de artigos de viagem e de artefatos diversos de couro</v>
          </cell>
        </row>
        <row r="77">
          <cell r="A77">
            <v>15020</v>
          </cell>
          <cell r="B77" t="str">
            <v>Fabricação de calçados e partes para calçados, de qualquer material</v>
          </cell>
        </row>
        <row r="78">
          <cell r="A78"/>
          <cell r="B78" t="str">
            <v>FABRICAÇÃO DE PRODUTOS DE MADEIRA</v>
          </cell>
        </row>
        <row r="79">
          <cell r="A79">
            <v>16001</v>
          </cell>
          <cell r="B79" t="str">
            <v>Serrarias</v>
          </cell>
        </row>
        <row r="80">
          <cell r="A80">
            <v>16002</v>
          </cell>
          <cell r="B80" t="str">
            <v>Fabricação de produtos de madeira, cortiça e material trançado, exceto móveis</v>
          </cell>
        </row>
        <row r="81">
          <cell r="A81"/>
          <cell r="B81" t="str">
            <v>FABRICAÇÃO DE CELULOSE, PAPEL E PRODUTOS DE PAPEL</v>
          </cell>
        </row>
        <row r="82">
          <cell r="A82">
            <v>17001</v>
          </cell>
          <cell r="B82" t="str">
            <v>Fabricação de celulose, papel, cartolina e papel-cartão</v>
          </cell>
        </row>
        <row r="83">
          <cell r="A83">
            <v>17002</v>
          </cell>
          <cell r="B83" t="str">
            <v>Fabricação de embalagens e de produtos diversos de papel, cartolina, papel-cartão e papelão ondulado</v>
          </cell>
        </row>
        <row r="84">
          <cell r="A84"/>
          <cell r="B84" t="str">
            <v>IMPRESSÃO E REPRODUÇÃO DE GRAVAÇÕES</v>
          </cell>
        </row>
        <row r="85">
          <cell r="A85">
            <v>18000</v>
          </cell>
          <cell r="B85" t="str">
            <v>Impressão e reprodução de gravações</v>
          </cell>
        </row>
        <row r="86">
          <cell r="A86"/>
          <cell r="B86" t="str">
            <v>FABRICAÇÃO DE COQUE; PRODUTOS DERIVADOS DE PETRÓLEO E DE BIOCOMBUSTÍVEIS</v>
          </cell>
        </row>
        <row r="87">
          <cell r="A87">
            <v>19010</v>
          </cell>
          <cell r="B87" t="str">
            <v>Coquerias</v>
          </cell>
        </row>
        <row r="88">
          <cell r="A88">
            <v>19020</v>
          </cell>
          <cell r="B88" t="str">
            <v>Fabricação de produtos derivados do petróleo</v>
          </cell>
        </row>
        <row r="89">
          <cell r="A89">
            <v>19030</v>
          </cell>
          <cell r="B89" t="str">
            <v>Produção de biocombustíveis</v>
          </cell>
        </row>
        <row r="90">
          <cell r="A90"/>
          <cell r="B90" t="str">
            <v>FABRICAÇÃO DE PRODUTOS QUÍMICOS</v>
          </cell>
        </row>
        <row r="91">
          <cell r="A91">
            <v>20010</v>
          </cell>
          <cell r="B91" t="str">
            <v>Fabricação de tintas, vernizes, esmaltes, lacas e produtos afins</v>
          </cell>
        </row>
        <row r="92">
          <cell r="A92">
            <v>20020</v>
          </cell>
          <cell r="B92" t="str">
            <v>Fabricação de sabões, detergentes, produtos de limpeza, cosméticos, produtos de perfumaria e de higiene pessoal</v>
          </cell>
        </row>
        <row r="93">
          <cell r="A93">
            <v>20090</v>
          </cell>
          <cell r="B93" t="str">
            <v>Fabricação de outros produtos químicos não especificados anteriormente</v>
          </cell>
        </row>
        <row r="94">
          <cell r="A94"/>
          <cell r="B94" t="str">
            <v>FABRICAÇÃO DE PRODUTOS FARMOQUÍMICOS E FARMACÊUTICOS</v>
          </cell>
        </row>
        <row r="95">
          <cell r="A95">
            <v>21000</v>
          </cell>
          <cell r="B95" t="str">
            <v>Fabricação de produtos farmoquimicos e farmacêuticos</v>
          </cell>
        </row>
        <row r="96">
          <cell r="A96"/>
          <cell r="B96" t="str">
            <v>FABRICAÇÃO DE PRODUTOS DE BORRACHA E DE MATERIAL PLÁSTICO</v>
          </cell>
        </row>
        <row r="97">
          <cell r="A97">
            <v>22010</v>
          </cell>
          <cell r="B97" t="str">
            <v>Fabricação de produtos de borracha</v>
          </cell>
        </row>
        <row r="98">
          <cell r="A98">
            <v>22020</v>
          </cell>
          <cell r="B98" t="str">
            <v>Fabricação de produtos de material plástico</v>
          </cell>
        </row>
        <row r="99">
          <cell r="A99"/>
          <cell r="B99" t="str">
            <v>FABRICAÇÃO DE PRODUTOS DE MINERAIS NÃO-METÁLICOS</v>
          </cell>
        </row>
        <row r="100">
          <cell r="A100">
            <v>23010</v>
          </cell>
          <cell r="B100" t="str">
            <v>Fabricação de vidro e produtos de vidro</v>
          </cell>
        </row>
        <row r="101">
          <cell r="A101">
            <v>23091</v>
          </cell>
          <cell r="B101" t="str">
            <v>Fabricação de produtos cerâmicos</v>
          </cell>
        </row>
        <row r="102">
          <cell r="A102">
            <v>23099</v>
          </cell>
          <cell r="B102" t="str">
            <v>Fabricação de outros produtos de minerais não-metálicos não especificados anteriormente</v>
          </cell>
        </row>
        <row r="103">
          <cell r="A103"/>
          <cell r="B103" t="str">
            <v xml:space="preserve">METALURGIA </v>
          </cell>
        </row>
        <row r="104">
          <cell r="A104">
            <v>24001</v>
          </cell>
          <cell r="B104" t="str">
            <v>Fabricação de produtos siderúrgicos</v>
          </cell>
        </row>
        <row r="105">
          <cell r="A105">
            <v>24002</v>
          </cell>
          <cell r="B105" t="str">
            <v>Metalurgia dos metais não-ferrosos</v>
          </cell>
        </row>
        <row r="106">
          <cell r="A106">
            <v>24003</v>
          </cell>
          <cell r="B106" t="str">
            <v>Fundição</v>
          </cell>
        </row>
        <row r="107">
          <cell r="A107"/>
          <cell r="B107" t="str">
            <v>FABRICAÇÃO DE PRODUTOS DE METAL, EXCETO MÁQUINAS E EQUIPAMENTOS</v>
          </cell>
        </row>
        <row r="108">
          <cell r="A108">
            <v>25001</v>
          </cell>
          <cell r="B108" t="str">
            <v>Fabricação de produtos de metal, exceto máquinas e equipamentos</v>
          </cell>
        </row>
        <row r="109">
          <cell r="A109">
            <v>25002</v>
          </cell>
          <cell r="B109" t="str">
            <v>Forjaria, estamparia, metalurgia do pó e serviços de tratamento de metais</v>
          </cell>
        </row>
        <row r="110">
          <cell r="A110"/>
          <cell r="B110" t="str">
            <v>FABRICAÇÃO DE EQUIPAMENTOS DE INFORMÁTICA, PRODUTOS ELETRÔNICOS E ÓPTICOS</v>
          </cell>
        </row>
        <row r="111">
          <cell r="A111">
            <v>26010</v>
          </cell>
          <cell r="B111" t="str">
            <v>Fabricação de componentes eletrônicos</v>
          </cell>
        </row>
        <row r="112">
          <cell r="A112">
            <v>26020</v>
          </cell>
          <cell r="B112" t="str">
            <v>Fabricação de equipamentos de informática e periféricos</v>
          </cell>
        </row>
        <row r="113">
          <cell r="A113">
            <v>26030</v>
          </cell>
          <cell r="B113" t="str">
            <v>Fabricação de equipamentos de comunicação e de aparelhos de recepção, reprodução, gravação e amplificação de áudio e vídeo</v>
          </cell>
        </row>
        <row r="114">
          <cell r="A114">
            <v>26041</v>
          </cell>
          <cell r="B114" t="str">
            <v>Fabricação de aparelhos e instrumentos de medida, teste e controle; cronômetros e relógios e de aparelhos eletromédicos e eletroterapêuticos</v>
          </cell>
        </row>
        <row r="115">
          <cell r="A115">
            <v>26042</v>
          </cell>
          <cell r="B115" t="str">
            <v>Fabricação de equipamentos e instrumentos ópticos, fotográficos e cinematográficos e de mídias virgens, magnéticas e ópticas</v>
          </cell>
        </row>
        <row r="116">
          <cell r="A116"/>
          <cell r="B116" t="str">
            <v>FABRICAÇÃO DE MÁQUINAS, APARELHOS E MATERIAIS ELÉTRICOS</v>
          </cell>
        </row>
        <row r="117">
          <cell r="A117">
            <v>27010</v>
          </cell>
          <cell r="B117" t="str">
            <v>Fabricação de eletrodomesticos</v>
          </cell>
        </row>
        <row r="118">
          <cell r="A118">
            <v>27090</v>
          </cell>
          <cell r="B118" t="str">
            <v>Fabricação de máquinas, aparelhos e materiais elétricos diversos, exceto eletrodomesticos</v>
          </cell>
        </row>
        <row r="119">
          <cell r="A119"/>
          <cell r="B119" t="str">
            <v>FABRICAÇÃO DE MÁQUINAS E EQUIPAMENTOS</v>
          </cell>
        </row>
        <row r="120">
          <cell r="A120">
            <v>28000</v>
          </cell>
          <cell r="B120" t="str">
            <v>Fabricação de máquinas e equipamentos</v>
          </cell>
        </row>
        <row r="121">
          <cell r="A121"/>
          <cell r="B121" t="str">
            <v>FABRICAÇÃO DE VEÍCULOS AUTOMOTORES, REBOQUES E CARROCERIAS</v>
          </cell>
        </row>
        <row r="122">
          <cell r="A122">
            <v>29001</v>
          </cell>
          <cell r="B122" t="str">
            <v>Fabricação e montagem de veículos automotores</v>
          </cell>
        </row>
        <row r="123">
          <cell r="A123">
            <v>29002</v>
          </cell>
          <cell r="B123" t="str">
            <v>Fabricação de cabines, carrocerias, reboques e peças para veículos automotores</v>
          </cell>
        </row>
        <row r="124">
          <cell r="A124">
            <v>29003</v>
          </cell>
          <cell r="B124" t="str">
            <v>Reconstrução, em fábrica, de motores de veículos automotores</v>
          </cell>
        </row>
        <row r="125">
          <cell r="A125"/>
          <cell r="B125" t="str">
            <v>FABRICAÇÃO DE OUTROS EQUIPAMENTOS DE TRANSPORTE, EXCETO VEÍCULOS AUTOMOTORES</v>
          </cell>
        </row>
        <row r="126">
          <cell r="A126">
            <v>30010</v>
          </cell>
          <cell r="B126" t="str">
            <v xml:space="preserve">Construção de embarcações </v>
          </cell>
        </row>
        <row r="127">
          <cell r="A127">
            <v>30020</v>
          </cell>
          <cell r="B127" t="str">
            <v>Fabricação de veículos ferroviários</v>
          </cell>
        </row>
        <row r="128">
          <cell r="A128">
            <v>30030</v>
          </cell>
          <cell r="B128" t="str">
            <v>Fabricação de aeronaves</v>
          </cell>
        </row>
        <row r="129">
          <cell r="A129">
            <v>30090</v>
          </cell>
          <cell r="B129" t="str">
            <v>Fabricação de outros equipamentos de transporte não especificados anteriormente</v>
          </cell>
        </row>
        <row r="130">
          <cell r="A130"/>
          <cell r="B130" t="str">
            <v>FABRICAÇÃO DE MÓVEIS</v>
          </cell>
        </row>
        <row r="131">
          <cell r="A131">
            <v>31000</v>
          </cell>
          <cell r="B131" t="str">
            <v>Fabricação de móveis</v>
          </cell>
        </row>
        <row r="132">
          <cell r="A132"/>
          <cell r="B132" t="str">
            <v>FABRICAÇÃO DE PRODUTOS DIVERSOS</v>
          </cell>
        </row>
        <row r="133">
          <cell r="A133">
            <v>32001</v>
          </cell>
          <cell r="B133" t="str">
            <v>Fabricação de artigos de joalheria, bijuteria e semelhantes</v>
          </cell>
        </row>
        <row r="134">
          <cell r="A134">
            <v>32002</v>
          </cell>
          <cell r="B134" t="str">
            <v>Fabricação de instrumentos musicais</v>
          </cell>
        </row>
        <row r="135">
          <cell r="A135">
            <v>32003</v>
          </cell>
          <cell r="B135" t="str">
            <v>Fabricação de artefatos para pesca e esporte e de brinquedos e jogos recreativos</v>
          </cell>
        </row>
        <row r="136">
          <cell r="A136">
            <v>32009</v>
          </cell>
          <cell r="B136" t="str">
            <v>Fabricação de produtos diversos</v>
          </cell>
        </row>
        <row r="137">
          <cell r="A137"/>
          <cell r="B137" t="str">
            <v>MANUTENÇÃO, REPARAÇÃO E INSTALAÇÃO DE MÁQUINAS E EQUIPAMENTOS</v>
          </cell>
        </row>
        <row r="138">
          <cell r="A138">
            <v>33001</v>
          </cell>
          <cell r="B138" t="str">
            <v>Manutenção e reparação de máquinas e equipamentos</v>
          </cell>
        </row>
        <row r="139">
          <cell r="A139">
            <v>33002</v>
          </cell>
          <cell r="B139" t="str">
            <v>Instalação de máquinas e equipamentos</v>
          </cell>
        </row>
        <row r="140">
          <cell r="A140"/>
          <cell r="B140" t="str">
            <v>ELETRICIDADE E GÁS</v>
          </cell>
        </row>
        <row r="141">
          <cell r="A141"/>
          <cell r="B141" t="str">
            <v>ELETRICIDADE, GÁS E OUTRAS UTILIDADES</v>
          </cell>
        </row>
        <row r="142">
          <cell r="A142">
            <v>35010</v>
          </cell>
          <cell r="B142" t="str">
            <v>Geração, transmissão e distribuição de energia elétrica</v>
          </cell>
        </row>
        <row r="143">
          <cell r="A143">
            <v>35021</v>
          </cell>
          <cell r="B143" t="str">
            <v>Produção e distribuição de combustíveis gasosos por redes urbanas</v>
          </cell>
        </row>
        <row r="144">
          <cell r="A144">
            <v>35022</v>
          </cell>
          <cell r="B144" t="str">
            <v>Produção e distribuição de vapor, água quente e ar condicionado</v>
          </cell>
        </row>
        <row r="145">
          <cell r="A145"/>
          <cell r="B145" t="str">
            <v>ÁGUA, ESGOTO, ATIVIDADES DE GESTÃO DE RESÍDUOS E DESCONTAMINAÇÃO</v>
          </cell>
        </row>
        <row r="146">
          <cell r="A146"/>
          <cell r="B146" t="str">
            <v>CAPTAÇÃO, TRATAMENTO E DISTRIBUIÇÃO DE ÁGUA</v>
          </cell>
        </row>
        <row r="147">
          <cell r="A147">
            <v>36000</v>
          </cell>
          <cell r="B147" t="str">
            <v>Captação, tratamento e distribuição de água</v>
          </cell>
        </row>
        <row r="148">
          <cell r="A148"/>
          <cell r="B148" t="str">
            <v>ESGOTO E ATIVIDADES RELACIONADAS</v>
          </cell>
        </row>
        <row r="149">
          <cell r="A149">
            <v>37000</v>
          </cell>
          <cell r="B149" t="str">
            <v>Esgoto e atividades relacionadas</v>
          </cell>
        </row>
        <row r="150">
          <cell r="A150"/>
          <cell r="B150" t="str">
            <v>COLETA, TRATAMENTO E DISPOSIÇÃO DE RESÍDUOS; RECUPERAÇÃO DE MATERIAIS</v>
          </cell>
        </row>
        <row r="151">
          <cell r="A151">
            <v>38000</v>
          </cell>
          <cell r="B151" t="str">
            <v>Coleta, tratamento e disposição de resíduos; recuperação de materiais</v>
          </cell>
        </row>
        <row r="152">
          <cell r="A152"/>
          <cell r="B152" t="str">
            <v>DESCONTAMINAÇÃO E OUTROS SERVIÇOS DE GESTÃO DE RESÍDUOS</v>
          </cell>
        </row>
        <row r="153">
          <cell r="A153">
            <v>39000</v>
          </cell>
          <cell r="B153" t="str">
            <v>Descontaminação e outros serviços de gestão de resíduos</v>
          </cell>
        </row>
        <row r="154">
          <cell r="A154"/>
          <cell r="B154" t="str">
            <v>CONSTRUÇÃO</v>
          </cell>
        </row>
        <row r="155">
          <cell r="A155"/>
          <cell r="B155" t="str">
            <v>CONSTRUÇÃO E INCORPORAÇÃO DE EDIFÍCIOS</v>
          </cell>
        </row>
        <row r="156">
          <cell r="A156">
            <v>41000</v>
          </cell>
          <cell r="B156" t="str">
            <v>Construção de edifícios</v>
          </cell>
        </row>
        <row r="157">
          <cell r="A157"/>
          <cell r="B157" t="str">
            <v>OBRAS DE INFRA-ESTRUTURA</v>
          </cell>
        </row>
        <row r="158">
          <cell r="A158">
            <v>42000</v>
          </cell>
          <cell r="B158" t="str">
            <v>Construção de obras de infra-estrutura</v>
          </cell>
        </row>
        <row r="159">
          <cell r="A159"/>
          <cell r="B159" t="str">
            <v>SERVIÇOS ESPECIALIZADOS PARA CONSTRUÇÃO</v>
          </cell>
        </row>
        <row r="160">
          <cell r="A160">
            <v>43000</v>
          </cell>
          <cell r="B160" t="str">
            <v>Serviços especializados para construção</v>
          </cell>
        </row>
        <row r="161">
          <cell r="A161"/>
          <cell r="B161" t="str">
            <v>COMÉRCIO;REPARAÇÃO DE VEÍCULOS AUTOMOTORES E MOTOCICLETAS</v>
          </cell>
        </row>
        <row r="162">
          <cell r="A162"/>
          <cell r="B162" t="str">
            <v>COMÉRCIO E REPARAÇÃO DE VEÍCULOS AUTOMOTORES E MOTOCICLETAS</v>
          </cell>
        </row>
        <row r="163">
          <cell r="A163">
            <v>45010</v>
          </cell>
          <cell r="B163" t="str">
            <v>Comércio de veículos automotores</v>
          </cell>
        </row>
        <row r="164">
          <cell r="A164">
            <v>45020</v>
          </cell>
          <cell r="B164" t="str">
            <v>Manutenção e reparação de veículos automotores</v>
          </cell>
        </row>
        <row r="165">
          <cell r="A165">
            <v>45030</v>
          </cell>
          <cell r="B165" t="str">
            <v>Comércio de peças e acessórios para veículos automotores</v>
          </cell>
        </row>
        <row r="166">
          <cell r="A166">
            <v>45040</v>
          </cell>
          <cell r="B166" t="str">
            <v>Comércio, manutenção e reparação de motocicletas, peças e acessórios</v>
          </cell>
        </row>
        <row r="167">
          <cell r="A167"/>
          <cell r="B167" t="str">
            <v>COMÉRCIO, EXCETO DE VEICULOS AUTOMOTORES E MOTOCICLETAS</v>
          </cell>
        </row>
        <row r="168">
          <cell r="A168">
            <v>48010</v>
          </cell>
          <cell r="B168" t="str">
            <v>Representantes comerciais e agentes do comércio, exceto de veículos automotores e motocicletas</v>
          </cell>
        </row>
        <row r="169">
          <cell r="A169">
            <v>48020</v>
          </cell>
          <cell r="B169" t="str">
            <v>Comércio de matérias-primas agrícolas e animais vivos</v>
          </cell>
        </row>
        <row r="170">
          <cell r="A170">
            <v>48030</v>
          </cell>
          <cell r="B170" t="str">
            <v>Comércio de produtos alimentícios, bebidas e fumo</v>
          </cell>
        </row>
        <row r="171">
          <cell r="A171">
            <v>48041</v>
          </cell>
          <cell r="B171" t="str">
            <v>Comércio de tecidos, artefatos de tecidos e armarinho</v>
          </cell>
        </row>
        <row r="172">
          <cell r="A172">
            <v>48042</v>
          </cell>
          <cell r="B172" t="str">
            <v>Comércio de artigos do vestuário, complementos, calçados e artigos de viagem</v>
          </cell>
        </row>
        <row r="173">
          <cell r="A173">
            <v>48050</v>
          </cell>
          <cell r="B173" t="str">
            <v>Comércio de madeira, material de construção, ferragens e ferramentas</v>
          </cell>
        </row>
        <row r="174">
          <cell r="A174">
            <v>48060</v>
          </cell>
          <cell r="B174" t="str">
            <v>Comércio de combustíveis para veículos automotores</v>
          </cell>
        </row>
        <row r="175">
          <cell r="A175">
            <v>48071</v>
          </cell>
          <cell r="B175" t="str">
            <v>Comércio de produtos farmaceuticos, médicos, ortopédicos, odontológicos e de cosméticos e perfumaria</v>
          </cell>
        </row>
        <row r="176">
          <cell r="A176">
            <v>48072</v>
          </cell>
          <cell r="B176" t="str">
            <v>Comércio de artigos de escritório e de papelaria; livros, jornais e outras publicações</v>
          </cell>
        </row>
        <row r="177">
          <cell r="A177">
            <v>48073</v>
          </cell>
          <cell r="B177" t="str">
            <v>Comércio de eletrodomésticos, móveis e outros artigos de residência</v>
          </cell>
        </row>
        <row r="178">
          <cell r="A178">
            <v>48074</v>
          </cell>
          <cell r="B178" t="str">
            <v>Comércio de equipamentos e produtos de tecnologias de informação e comunicação</v>
          </cell>
        </row>
        <row r="179">
          <cell r="A179">
            <v>48075</v>
          </cell>
          <cell r="B179" t="str">
            <v xml:space="preserve">Comércio de máquinas, aparelhos e equipamentos, exceto eletrodomésticos </v>
          </cell>
        </row>
        <row r="180">
          <cell r="A180">
            <v>48076</v>
          </cell>
          <cell r="B180" t="str">
            <v>Comércio de combustíveis sólidos, líquidos e gasosos, exceto para veículos automotores</v>
          </cell>
        </row>
        <row r="181">
          <cell r="A181">
            <v>48077</v>
          </cell>
          <cell r="B181" t="str">
            <v>Comércio de produtos usados</v>
          </cell>
        </row>
        <row r="182">
          <cell r="A182">
            <v>48078</v>
          </cell>
          <cell r="B182" t="str">
            <v>Comercio de residuos e sucatas</v>
          </cell>
        </row>
        <row r="183">
          <cell r="A183">
            <v>48079</v>
          </cell>
          <cell r="B183" t="str">
            <v>Comércio de produtos novos não especificados anteriormente</v>
          </cell>
        </row>
        <row r="184">
          <cell r="A184">
            <v>48080</v>
          </cell>
          <cell r="B184" t="str">
            <v>Supermercado e hipermercado</v>
          </cell>
        </row>
        <row r="185">
          <cell r="A185">
            <v>48090</v>
          </cell>
          <cell r="B185" t="str">
            <v>Lojas de departamento e outros comércios não especializados, sem predominância de produtos alimentícios</v>
          </cell>
        </row>
        <row r="186">
          <cell r="A186">
            <v>48100</v>
          </cell>
          <cell r="B186" t="str">
            <v>Comércio ambulante e feiras</v>
          </cell>
        </row>
        <row r="187">
          <cell r="A187"/>
          <cell r="B187" t="str">
            <v>TRANSPORTE, ARMAZENAGEM E CORREIO</v>
          </cell>
        </row>
        <row r="188">
          <cell r="A188"/>
          <cell r="B188" t="str">
            <v xml:space="preserve">TRANSPORTE TERRESTRE </v>
          </cell>
        </row>
        <row r="189">
          <cell r="A189">
            <v>49010</v>
          </cell>
          <cell r="B189" t="str">
            <v>Transporte ferroviário e metroferroviário</v>
          </cell>
        </row>
        <row r="190">
          <cell r="A190">
            <v>49030</v>
          </cell>
          <cell r="B190" t="str">
            <v>Transporte rodoviário de passageiros</v>
          </cell>
        </row>
        <row r="191">
          <cell r="A191">
            <v>49040</v>
          </cell>
          <cell r="B191" t="str">
            <v>Transporte rodoviário de carga</v>
          </cell>
        </row>
        <row r="192">
          <cell r="A192">
            <v>49090</v>
          </cell>
          <cell r="B192" t="str">
            <v>Outros transportes terrestres</v>
          </cell>
        </row>
        <row r="193">
          <cell r="A193"/>
          <cell r="B193" t="str">
            <v>TRANSPORTE AQUAVIÁRIO</v>
          </cell>
        </row>
        <row r="194">
          <cell r="A194">
            <v>50000</v>
          </cell>
          <cell r="B194" t="str">
            <v>Transporte Aquaviário</v>
          </cell>
        </row>
        <row r="195">
          <cell r="A195"/>
          <cell r="B195" t="str">
            <v>TRANSPORTE AÉREO</v>
          </cell>
        </row>
        <row r="196">
          <cell r="A196">
            <v>51000</v>
          </cell>
          <cell r="B196" t="str">
            <v>Transporte Aéreo</v>
          </cell>
        </row>
        <row r="197">
          <cell r="A197"/>
          <cell r="B197" t="str">
            <v>ARMAZENAMENTO E ATIVIDADES AUXILIARES DOS TRANSPORTES</v>
          </cell>
        </row>
        <row r="198">
          <cell r="A198">
            <v>52010</v>
          </cell>
          <cell r="B198" t="str">
            <v>Armazenamento, carga e descarga</v>
          </cell>
        </row>
        <row r="199">
          <cell r="A199">
            <v>52020</v>
          </cell>
          <cell r="B199" t="str">
            <v xml:space="preserve">Atividades auxiliares dos transportes e atividades relacionadas à organização do transporte de carga </v>
          </cell>
        </row>
        <row r="200">
          <cell r="A200"/>
          <cell r="B200" t="str">
            <v>CORREIO E OUTRAS ATIVIDADES DE ENTREGA</v>
          </cell>
        </row>
        <row r="201">
          <cell r="A201">
            <v>53001</v>
          </cell>
          <cell r="B201" t="str">
            <v>Atividades de Correio</v>
          </cell>
        </row>
        <row r="202">
          <cell r="A202">
            <v>53002</v>
          </cell>
          <cell r="B202" t="str">
            <v>Atividades de malote e de entrega</v>
          </cell>
        </row>
        <row r="203">
          <cell r="A203"/>
          <cell r="B203" t="str">
            <v>ALOJAMENTO E ALIMENTAÇÃO</v>
          </cell>
        </row>
        <row r="204">
          <cell r="A204"/>
          <cell r="B204" t="str">
            <v>ALOJAMENTO</v>
          </cell>
        </row>
        <row r="205">
          <cell r="A205">
            <v>55000</v>
          </cell>
          <cell r="B205" t="str">
            <v>Alojamento</v>
          </cell>
        </row>
        <row r="206">
          <cell r="A206"/>
          <cell r="B206" t="str">
            <v>ALIMENTAÇÃO</v>
          </cell>
        </row>
        <row r="207">
          <cell r="A207">
            <v>56011</v>
          </cell>
          <cell r="B207" t="str">
            <v>Restaurantes e outros estabelecimentos de serviços de alimentação e bebidas</v>
          </cell>
        </row>
        <row r="208">
          <cell r="A208">
            <v>56012</v>
          </cell>
          <cell r="B208" t="str">
            <v>Serviços de catering, bufê e outros serviços de comida preparada</v>
          </cell>
        </row>
        <row r="209">
          <cell r="A209">
            <v>56020</v>
          </cell>
          <cell r="B209" t="str">
            <v>Serviços ambulantes de alimentação</v>
          </cell>
        </row>
        <row r="210">
          <cell r="A210"/>
          <cell r="B210" t="str">
            <v>INFORMAÇÃO E COMUNICAÇÃO</v>
          </cell>
        </row>
        <row r="211">
          <cell r="A211"/>
          <cell r="B211" t="str">
            <v>EDIÇÃO E EDIÇÃO INTEGRADA À DE IMPRESSÃO</v>
          </cell>
        </row>
        <row r="212">
          <cell r="A212">
            <v>58000</v>
          </cell>
          <cell r="B212" t="str">
            <v xml:space="preserve">Edição e Edição integrada à impressão </v>
          </cell>
        </row>
        <row r="213">
          <cell r="A213"/>
          <cell r="B213" t="str">
            <v>ATIVIDADES CINEMATOGRÁFICAS, PRODUÇÃO DE VÍDEOS E DE PROGRAMAS DE TELEVISÃO; GRAVAÇÃO DE SOM E DE MÚSICA</v>
          </cell>
        </row>
        <row r="214">
          <cell r="A214">
            <v>59000</v>
          </cell>
          <cell r="B214" t="str">
            <v>Atividades cinematográficas, produção de vídeos e de programas de televisão, gravação de som e de música</v>
          </cell>
        </row>
        <row r="215">
          <cell r="A215"/>
          <cell r="B215" t="str">
            <v>ATIVIDADES DE RÁDIO E DE TELEVISÃO</v>
          </cell>
        </row>
        <row r="216">
          <cell r="A216">
            <v>60001</v>
          </cell>
          <cell r="B216" t="str">
            <v>Atividades de rádio</v>
          </cell>
        </row>
        <row r="217">
          <cell r="A217">
            <v>60002</v>
          </cell>
          <cell r="B217" t="str">
            <v>Atividades de televisão</v>
          </cell>
        </row>
        <row r="218">
          <cell r="A218"/>
          <cell r="B218" t="str">
            <v>TELECOMUNICAÇÕES</v>
          </cell>
        </row>
        <row r="219">
          <cell r="A219">
            <v>61000</v>
          </cell>
          <cell r="B219" t="str">
            <v>Telecomunicações</v>
          </cell>
        </row>
        <row r="220">
          <cell r="A220"/>
          <cell r="B220" t="str">
            <v>ATIVIDADES DOS SERVIÇOS DE TECNOLOGIA DA INFORMAÇÃO</v>
          </cell>
        </row>
        <row r="221">
          <cell r="A221">
            <v>62000</v>
          </cell>
          <cell r="B221" t="str">
            <v>Atividades dos serviços de tecnologia da informação</v>
          </cell>
        </row>
        <row r="222">
          <cell r="A222"/>
          <cell r="B222" t="str">
            <v>ATIVIDADES DE PRESTAÇÃO DE SERVIÇOS DE INFORMAÇÃO</v>
          </cell>
        </row>
        <row r="223">
          <cell r="A223">
            <v>63000</v>
          </cell>
          <cell r="B223" t="str">
            <v>Atividades de prestação de serviços de informação</v>
          </cell>
        </row>
        <row r="224">
          <cell r="A224"/>
          <cell r="B224" t="str">
            <v>ATIVIDADES FINANCEIRAS, DE SEGUROS E SERVIÇOS RELACIONADOS</v>
          </cell>
        </row>
        <row r="225">
          <cell r="A225"/>
          <cell r="B225" t="str">
            <v>ATIVIDADES DE SERVIÇOS FINANCEIROS</v>
          </cell>
        </row>
        <row r="226">
          <cell r="A226">
            <v>64000</v>
          </cell>
          <cell r="B226" t="str">
            <v>Serviços financeiros</v>
          </cell>
        </row>
        <row r="227">
          <cell r="A227"/>
          <cell r="B227" t="str">
            <v>SEGUROS, RESSEGUROS, PREVIDÊNCIA COMPLEMENTAR E PLANOS DE SAÚDE</v>
          </cell>
        </row>
        <row r="228">
          <cell r="A228">
            <v>65000</v>
          </cell>
          <cell r="B228" t="str">
            <v>Seguros e previdência privada</v>
          </cell>
        </row>
        <row r="229">
          <cell r="A229"/>
          <cell r="B229" t="str">
            <v>ATIVIDADES AUXILIARES DOS SERVIÇOS FINANCEIROS, SEGUROS, PREVIDÊNCIA COMPLEMENTAR E PLANOS DE SAÚDE</v>
          </cell>
        </row>
        <row r="230">
          <cell r="A230">
            <v>66001</v>
          </cell>
          <cell r="B230" t="str">
            <v>Atividades auxiliares dos serviços financeiros</v>
          </cell>
        </row>
        <row r="231">
          <cell r="A231">
            <v>66002</v>
          </cell>
          <cell r="B231" t="str">
            <v>Atividades auxiliares dos seguros, da previdência complementar e dos planos de saúde</v>
          </cell>
        </row>
        <row r="232">
          <cell r="A232"/>
          <cell r="B232" t="str">
            <v>ATIVIDADES IMOBILIÁRIAS</v>
          </cell>
        </row>
        <row r="233">
          <cell r="A233"/>
          <cell r="B233" t="str">
            <v>ATIVIDADES IMOBILIÁRIAS</v>
          </cell>
        </row>
        <row r="234">
          <cell r="A234">
            <v>68000</v>
          </cell>
          <cell r="B234" t="str">
            <v>Atividades imobiliárias</v>
          </cell>
        </row>
        <row r="235">
          <cell r="A235"/>
          <cell r="B235" t="str">
            <v>ATIVIDADES PROFISSIONAIS, CIENTÍFICAS E TÉCNICAS</v>
          </cell>
        </row>
        <row r="236">
          <cell r="A236"/>
          <cell r="B236" t="str">
            <v>ATIVIDADES JURÍDICAS, DE CONTABILIDADE E DE AUDITORIA</v>
          </cell>
        </row>
        <row r="237">
          <cell r="A237">
            <v>69000</v>
          </cell>
          <cell r="B237" t="str">
            <v xml:space="preserve">Atividades jurídicas, de contabilidade e de auditoria </v>
          </cell>
        </row>
        <row r="238">
          <cell r="A238"/>
          <cell r="B238" t="str">
            <v>ATIVIDADES DE CONSULTORIA EM GESTÃO EMPRESARIAL</v>
          </cell>
        </row>
        <row r="239">
          <cell r="A239">
            <v>70000</v>
          </cell>
          <cell r="B239" t="str">
            <v>Atividades de consultoria em gestão empresarial</v>
          </cell>
        </row>
        <row r="240">
          <cell r="A240"/>
          <cell r="B240" t="str">
            <v>SERVIÇOS DE ARQUITETURA E ENGENHARIA; TESTES E ANÁLISES TÉCNICAS</v>
          </cell>
        </row>
        <row r="241">
          <cell r="A241">
            <v>71000</v>
          </cell>
          <cell r="B241" t="str">
            <v>Serviços de arquitetura e engenharia e atividades técnicas relacionadas; Testes e análises técnicas</v>
          </cell>
        </row>
        <row r="242">
          <cell r="A242"/>
          <cell r="B242" t="str">
            <v>PESQUISA E DESENVOLVIMENTO CIENTÍFICO</v>
          </cell>
        </row>
        <row r="243">
          <cell r="A243">
            <v>72000</v>
          </cell>
          <cell r="B243" t="str">
            <v>Pesquisa e desenvolvimento científico</v>
          </cell>
        </row>
        <row r="244">
          <cell r="A244"/>
          <cell r="B244" t="str">
            <v>PUBLICIDADE E PESQUISAS DE MERCADO</v>
          </cell>
        </row>
        <row r="245">
          <cell r="A245">
            <v>73010</v>
          </cell>
          <cell r="B245" t="str">
            <v>Publicidade</v>
          </cell>
        </row>
        <row r="246">
          <cell r="A246">
            <v>73020</v>
          </cell>
          <cell r="B246" t="str">
            <v>Pesquisas de mercado e opinião pública</v>
          </cell>
        </row>
        <row r="247">
          <cell r="A247"/>
          <cell r="B247" t="str">
            <v>OUTRAS ATIVIDADES PROFISSIONAIS, CIENTÍFICAS E TÉCNICAS</v>
          </cell>
        </row>
        <row r="248">
          <cell r="A248">
            <v>74000</v>
          </cell>
          <cell r="B248" t="str">
            <v>Outras atividades profissionais, científicas e técnicas não especificadas anteriormente</v>
          </cell>
        </row>
        <row r="249">
          <cell r="A249"/>
          <cell r="B249" t="str">
            <v>ATIVIDADES VETERINÁRIAS</v>
          </cell>
        </row>
        <row r="250">
          <cell r="A250">
            <v>75000</v>
          </cell>
          <cell r="B250" t="str">
            <v>Atividades veterinárias</v>
          </cell>
        </row>
        <row r="251">
          <cell r="A251"/>
          <cell r="B251" t="str">
            <v>ATIVIDADES ADMINISTRATIVAS E SERVIÇOS COMPLEMENTARES</v>
          </cell>
        </row>
        <row r="252">
          <cell r="A252"/>
          <cell r="B252" t="str">
            <v>ALUGUÉIS NÃO IMOBILIÁRIOS E GESTÃO DE ATIVOS INTANGÍVEIS NÃO FINANCEIROS</v>
          </cell>
        </row>
        <row r="253">
          <cell r="A253">
            <v>77010</v>
          </cell>
          <cell r="B253" t="str">
            <v>Aluguel de objetos pessoais e domésticos</v>
          </cell>
        </row>
        <row r="254">
          <cell r="A254">
            <v>77020</v>
          </cell>
          <cell r="B254" t="str">
            <v>Aluguel de meios de transportes, maquinas e equipamentos sem operador e gestão de ativos intangíveis não financeiros</v>
          </cell>
        </row>
        <row r="255">
          <cell r="A255"/>
          <cell r="B255" t="str">
            <v>SELEÇÃO, AGENCIAMENTO E LOCAÇÃO DE MÃO-DE-OBRA</v>
          </cell>
        </row>
        <row r="256">
          <cell r="A256">
            <v>78000</v>
          </cell>
          <cell r="B256" t="str">
            <v>Seleção, agenciamento e locação de mão-de-obra</v>
          </cell>
        </row>
        <row r="257">
          <cell r="A257"/>
          <cell r="B257" t="str">
            <v>AGÊNCIAS DE VIAGENS, OPERADORES TURÍSTICOS E SERVIÇOS DE RESERVAS</v>
          </cell>
        </row>
        <row r="258">
          <cell r="A258">
            <v>79000</v>
          </cell>
          <cell r="B258" t="str">
            <v>Agências de viagens, operadores turísticos e serviços de reservas</v>
          </cell>
        </row>
        <row r="259">
          <cell r="A259"/>
          <cell r="B259" t="str">
            <v>ATIVIDADES DE VIGILÂNCIA, SEGURANÇA E INVESTIGAÇÃO</v>
          </cell>
        </row>
        <row r="260">
          <cell r="A260">
            <v>80000</v>
          </cell>
          <cell r="B260" t="str">
            <v>Atividades de vigilância, segurança, transporte de valores e investigação</v>
          </cell>
        </row>
        <row r="261">
          <cell r="A261"/>
          <cell r="B261" t="str">
            <v>SERVIÇOS PARA EDIFICIOS E ATIVIDADES PAISAGISTICAS</v>
          </cell>
        </row>
        <row r="262">
          <cell r="A262">
            <v>81011</v>
          </cell>
          <cell r="B262" t="str">
            <v>Serviços de limpeza e de apoio a edifícios, exceto condomínios prediais</v>
          </cell>
        </row>
        <row r="263">
          <cell r="A263">
            <v>81012</v>
          </cell>
          <cell r="B263" t="str">
            <v>Condomínios prediais</v>
          </cell>
        </row>
        <row r="264">
          <cell r="A264">
            <v>81020</v>
          </cell>
          <cell r="B264" t="str">
            <v>Atividades paisagísticas</v>
          </cell>
        </row>
        <row r="265">
          <cell r="A265"/>
          <cell r="B265" t="str">
            <v>SERVIÇOS DE ESCRITÓRIO, DE APOIO ADMINISTRATIVO E OUTROS SERVIÇOS PRESTADOS A EMPRESAS</v>
          </cell>
        </row>
        <row r="266">
          <cell r="A266">
            <v>82001</v>
          </cell>
          <cell r="B266" t="str">
            <v>Serviços de escritório e apoio administrativo</v>
          </cell>
        </row>
        <row r="267">
          <cell r="A267">
            <v>82002</v>
          </cell>
          <cell r="B267" t="str">
            <v>Atividades de teleatendimento</v>
          </cell>
        </row>
        <row r="268">
          <cell r="A268">
            <v>82003</v>
          </cell>
          <cell r="B268" t="str">
            <v>Atividades de organização de eventos, exceto culturais e esportivos</v>
          </cell>
        </row>
        <row r="269">
          <cell r="A269">
            <v>82009</v>
          </cell>
          <cell r="B269" t="str">
            <v>Outras atividades de serviços prestados principalmente às empresas</v>
          </cell>
        </row>
        <row r="270">
          <cell r="A270"/>
          <cell r="B270" t="str">
            <v>ADMINISTRAÇÃO PÚBLICA, DEFESA E SEGURIDADE SOCIAL</v>
          </cell>
        </row>
        <row r="271">
          <cell r="A271"/>
          <cell r="B271" t="str">
            <v>ADMINISTRAÇÃO PÚBLICA, DEFESA E SEGURIDADE SOCIAL</v>
          </cell>
        </row>
        <row r="272">
          <cell r="A272">
            <v>84011</v>
          </cell>
          <cell r="B272" t="str">
            <v>Administração publica e regulação da política econômica e social - Federal</v>
          </cell>
        </row>
        <row r="273">
          <cell r="A273">
            <v>84012</v>
          </cell>
          <cell r="B273" t="str">
            <v>Administração publica e regulação da política econômica e social - Estadual</v>
          </cell>
        </row>
        <row r="274">
          <cell r="A274">
            <v>84013</v>
          </cell>
          <cell r="B274" t="str">
            <v>Administração publica e regulação da política econômica e social - Municipal</v>
          </cell>
        </row>
        <row r="275">
          <cell r="A275">
            <v>84014</v>
          </cell>
          <cell r="B275" t="str">
            <v>Defesa</v>
          </cell>
        </row>
        <row r="276">
          <cell r="A276">
            <v>84015</v>
          </cell>
          <cell r="B276" t="str">
            <v>Outros serviços coletivos prestados pela administração pública - Federal</v>
          </cell>
        </row>
        <row r="277">
          <cell r="A277">
            <v>84016</v>
          </cell>
          <cell r="B277" t="str">
            <v>Outros serviços coletivos prestados pela administração pública - Estadual</v>
          </cell>
        </row>
        <row r="278">
          <cell r="A278">
            <v>84017</v>
          </cell>
          <cell r="B278" t="str">
            <v>Outros serviços coletivos prestados pela administração pública - Municipal</v>
          </cell>
        </row>
        <row r="279">
          <cell r="A279">
            <v>84020</v>
          </cell>
          <cell r="B279" t="str">
            <v>Seguridade social obrigatória</v>
          </cell>
        </row>
        <row r="280">
          <cell r="A280"/>
          <cell r="B280" t="str">
            <v>EDUCAÇÃO</v>
          </cell>
        </row>
        <row r="281">
          <cell r="A281"/>
          <cell r="B281" t="str">
            <v>EDUCAÇÃO</v>
          </cell>
        </row>
        <row r="282">
          <cell r="A282">
            <v>85011</v>
          </cell>
          <cell r="B282" t="str">
            <v>Creche</v>
          </cell>
        </row>
        <row r="283">
          <cell r="A283">
            <v>85012</v>
          </cell>
          <cell r="B283" t="str">
            <v>Pré-escola e ensino fundamental</v>
          </cell>
        </row>
        <row r="284">
          <cell r="A284">
            <v>85013</v>
          </cell>
          <cell r="B284" t="str">
            <v>Ensino médio</v>
          </cell>
        </row>
        <row r="285">
          <cell r="A285">
            <v>85014</v>
          </cell>
          <cell r="B285" t="str">
            <v>Educação superior</v>
          </cell>
        </row>
        <row r="286">
          <cell r="A286">
            <v>85021</v>
          </cell>
          <cell r="B286" t="str">
            <v>Serviços auxiliares à educação</v>
          </cell>
        </row>
        <row r="287">
          <cell r="A287">
            <v>85029</v>
          </cell>
          <cell r="B287" t="str">
            <v>Outras atividades de ensino</v>
          </cell>
        </row>
        <row r="288">
          <cell r="A288"/>
          <cell r="B288" t="str">
            <v>SAÚDE HUMANA E SERVIÇOS SOCIAIS</v>
          </cell>
        </row>
        <row r="289">
          <cell r="A289"/>
          <cell r="B289" t="str">
            <v>ATIVIDADES DE ATENÇÃO À SAÚDE HUMANA</v>
          </cell>
        </row>
        <row r="290">
          <cell r="A290">
            <v>86001</v>
          </cell>
          <cell r="B290" t="str">
            <v>Atividades de atendimento hospitalar</v>
          </cell>
        </row>
        <row r="291">
          <cell r="A291">
            <v>86002</v>
          </cell>
          <cell r="B291" t="str">
            <v>Atividades de atenção ambulatorial executadas por médicos e odontólogos</v>
          </cell>
        </row>
        <row r="292">
          <cell r="A292">
            <v>86003</v>
          </cell>
          <cell r="B292" t="str">
            <v>Atividades de serviços de complementação diagnóstica e terapêutica</v>
          </cell>
        </row>
        <row r="293">
          <cell r="A293">
            <v>86004</v>
          </cell>
          <cell r="B293" t="str">
            <v>Atividades de profissionais da área de saúde, exceto médicos e odontólogos</v>
          </cell>
        </row>
        <row r="294">
          <cell r="A294">
            <v>86009</v>
          </cell>
          <cell r="B294" t="str">
            <v>Atividades de atenção à saúde humana não especificadas anteriormente</v>
          </cell>
        </row>
        <row r="295">
          <cell r="A295"/>
          <cell r="B295" t="str">
            <v>ATIVIDADES DE ATENÇÃO À SAÚDE HUMANA INTEGRADAS COM ASSISTÊNCIA SOCIAL, INCLUSIVE PRESTADAS EM RESIDÊNCIAS COLETIVAS E PARTICULARES</v>
          </cell>
        </row>
        <row r="296">
          <cell r="A296">
            <v>87000</v>
          </cell>
          <cell r="B296" t="str">
            <v>Atividades de assistência à saude humana integradas com assistencia social, inclusive prestadas em residencias</v>
          </cell>
        </row>
        <row r="297">
          <cell r="A297"/>
          <cell r="B297" t="str">
            <v>SERVIÇOS DE ASSISTÊNCIA SOCIAL SEM ALOJAMENTO</v>
          </cell>
        </row>
        <row r="298">
          <cell r="A298">
            <v>88000</v>
          </cell>
          <cell r="B298" t="str">
            <v>Serviços de assistência social sem alojamento</v>
          </cell>
        </row>
        <row r="299">
          <cell r="A299"/>
          <cell r="B299" t="str">
            <v>ARTES, CULTURA, ESPORTE E RECREAÇÃO</v>
          </cell>
        </row>
        <row r="300">
          <cell r="A300"/>
          <cell r="B300" t="str">
            <v>ATIVIDADES ARTÍSTICAS, CRIATIVAS E DE ESPETÁCULOS</v>
          </cell>
        </row>
        <row r="301">
          <cell r="A301">
            <v>90000</v>
          </cell>
          <cell r="B301" t="str">
            <v>Atividades artísticas, criativas e de espetáculos</v>
          </cell>
        </row>
        <row r="302">
          <cell r="A302"/>
          <cell r="B302" t="str">
            <v>ATIVIDADES LIGADAS AO PATRIMÔNIO CULTURAL E AMBIENTAL</v>
          </cell>
        </row>
        <row r="303">
          <cell r="A303">
            <v>91000</v>
          </cell>
          <cell r="B303" t="str">
            <v>Atividades ligadas ao patrimônio cultural e ambiental</v>
          </cell>
        </row>
        <row r="304">
          <cell r="A304"/>
          <cell r="B304" t="str">
            <v>ATIVIDADES DE EXPLORAÇÃO DE JOGOS DE AZAR E APOSTAS</v>
          </cell>
        </row>
        <row r="305">
          <cell r="A305">
            <v>92000</v>
          </cell>
          <cell r="B305" t="str">
            <v>Atividades de exploração de jogos de azar e apostas</v>
          </cell>
        </row>
        <row r="306">
          <cell r="A306"/>
          <cell r="B306" t="str">
            <v>ATIVIDADES ESPORTIVAS E DE RECREAÇÃO E LAZER</v>
          </cell>
        </row>
        <row r="307">
          <cell r="A307">
            <v>93011</v>
          </cell>
          <cell r="B307" t="str">
            <v>Atividades esportivas</v>
          </cell>
        </row>
        <row r="308">
          <cell r="A308">
            <v>93012</v>
          </cell>
          <cell r="B308" t="str">
            <v>Atividades de condicionamento físico</v>
          </cell>
        </row>
        <row r="309">
          <cell r="A309">
            <v>93020</v>
          </cell>
          <cell r="B309" t="str">
            <v>Atividades de recreação e lazer</v>
          </cell>
        </row>
        <row r="310">
          <cell r="A310"/>
          <cell r="B310" t="str">
            <v>OUTRAS ATIVIDADES DE SERVIÇOS</v>
          </cell>
        </row>
        <row r="311">
          <cell r="A311"/>
          <cell r="B311" t="str">
            <v>ATIVIDADES DE ORGANIZAÇÕES ASSOCIATIVAS</v>
          </cell>
        </row>
        <row r="312">
          <cell r="A312">
            <v>94010</v>
          </cell>
          <cell r="B312" t="str">
            <v>Atividades de organizações associativas patronais, empresariais e profissionais</v>
          </cell>
        </row>
        <row r="313">
          <cell r="A313">
            <v>94020</v>
          </cell>
          <cell r="B313" t="str">
            <v>Atividades de organizações sindicais</v>
          </cell>
        </row>
        <row r="314">
          <cell r="A314">
            <v>94091</v>
          </cell>
          <cell r="B314" t="str">
            <v>Atividades de organizações religiosas e filosóficas</v>
          </cell>
        </row>
        <row r="315">
          <cell r="A315">
            <v>94099</v>
          </cell>
          <cell r="B315" t="str">
            <v xml:space="preserve">Outras atividades associativas não especificadas anteriormente </v>
          </cell>
        </row>
        <row r="316">
          <cell r="A316"/>
          <cell r="B316" t="str">
            <v>REPARAÇÃO E MANUTENÇÃO DE EQUIPAMENTOS DE INFORMATICA E COMUNICAÇÃO E DE OBJETOS PESSOAIS E DOMÉSTICOS</v>
          </cell>
        </row>
        <row r="317">
          <cell r="A317">
            <v>95010</v>
          </cell>
          <cell r="B317" t="str">
            <v>Reparação e manutenção de equipamentos de informática e comunicação</v>
          </cell>
        </row>
        <row r="318">
          <cell r="A318">
            <v>95030</v>
          </cell>
          <cell r="B318" t="str">
            <v>Reparação e manutenção de objetos e equipamentos pessoais e domésticos</v>
          </cell>
        </row>
        <row r="319">
          <cell r="A319"/>
          <cell r="B319" t="str">
            <v>OUTRAS ATIVIDADES DE SERVIÇOS PESSOAIS</v>
          </cell>
        </row>
        <row r="320">
          <cell r="A320">
            <v>96010</v>
          </cell>
          <cell r="B320" t="str">
            <v>Lavanderias, tinturarias e toalheiros</v>
          </cell>
        </row>
        <row r="321">
          <cell r="A321">
            <v>96020</v>
          </cell>
          <cell r="B321" t="str">
            <v>Cabeleireiros e outras atividades de tratamento de beleza</v>
          </cell>
        </row>
        <row r="322">
          <cell r="A322">
            <v>96030</v>
          </cell>
          <cell r="B322" t="str">
            <v xml:space="preserve">Atividades funerárias e serviços relacionados </v>
          </cell>
        </row>
        <row r="323">
          <cell r="A323">
            <v>96090</v>
          </cell>
          <cell r="B323" t="str">
            <v>Outras atividades de serviços pessoais</v>
          </cell>
        </row>
        <row r="324">
          <cell r="A324"/>
          <cell r="B324" t="str">
            <v>SERVIÇOS DOMÉSTICOS</v>
          </cell>
        </row>
        <row r="325">
          <cell r="A325"/>
          <cell r="B325" t="str">
            <v>SERVIÇOS DOMÉSTICOS</v>
          </cell>
        </row>
        <row r="326">
          <cell r="A326">
            <v>97000</v>
          </cell>
          <cell r="B326" t="str">
            <v>Serviços domésticos</v>
          </cell>
        </row>
        <row r="327">
          <cell r="A327"/>
          <cell r="B327" t="str">
            <v>ORGANISMOS INTERNACIONAIS E OUTRAS INSTITUIÇÕES EXTRATERRITORIAIS</v>
          </cell>
        </row>
        <row r="328">
          <cell r="A328"/>
          <cell r="B328" t="str">
            <v>ORGANISMOS INTERNACIONAIS E OUTRAS INSTITUIÇÕES EXTRATERRITORIAIS</v>
          </cell>
        </row>
        <row r="329">
          <cell r="A329">
            <v>99000</v>
          </cell>
          <cell r="B329" t="str">
            <v>Organismos internacionais e outras instituições extraterritoriais</v>
          </cell>
        </row>
        <row r="330">
          <cell r="A330"/>
          <cell r="B330" t="str">
            <v>ATIVIDADES MAL DEFINIDAS</v>
          </cell>
        </row>
        <row r="331">
          <cell r="A331"/>
          <cell r="B331" t="str">
            <v xml:space="preserve">Atividades mal definidas </v>
          </cell>
        </row>
        <row r="332">
          <cell r="A332">
            <v>0</v>
          </cell>
          <cell r="B332" t="str">
            <v xml:space="preserve">Atividades mal definidas 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9883-8C6D-4224-A89A-E551D740C213}">
  <dimension ref="A2:G141"/>
  <sheetViews>
    <sheetView showGridLines="0" tabSelected="1" workbookViewId="0">
      <selection activeCell="A3" sqref="A3:B141"/>
    </sheetView>
  </sheetViews>
  <sheetFormatPr defaultRowHeight="15" x14ac:dyDescent="0.25"/>
  <cols>
    <col min="1" max="1" width="13.7109375" style="4" bestFit="1" customWidth="1"/>
    <col min="2" max="2" width="101" style="5" bestFit="1" customWidth="1"/>
    <col min="3" max="6" width="15.7109375" style="10" customWidth="1"/>
    <col min="7" max="7" width="15.7109375" customWidth="1"/>
  </cols>
  <sheetData>
    <row r="2" spans="1:7" x14ac:dyDescent="0.25">
      <c r="A2" s="1" t="s">
        <v>0</v>
      </c>
      <c r="B2" s="2" t="s">
        <v>1</v>
      </c>
      <c r="C2" s="9" t="s">
        <v>3</v>
      </c>
      <c r="D2" s="9" t="s">
        <v>4</v>
      </c>
      <c r="E2" s="9" t="s">
        <v>5</v>
      </c>
      <c r="F2" s="9" t="s">
        <v>6</v>
      </c>
      <c r="G2" s="11" t="s">
        <v>7</v>
      </c>
    </row>
    <row r="3" spans="1:7" x14ac:dyDescent="0.25">
      <c r="A3" s="1">
        <v>48080</v>
      </c>
      <c r="B3" s="2" t="str">
        <f>VLOOKUP(A3,[1]Planilha1!$1:$1048576,2,FALSE)</f>
        <v>Supermercado e hipermercado</v>
      </c>
      <c r="C3" s="6">
        <v>846.94325000000003</v>
      </c>
      <c r="D3" s="6">
        <v>996.87369000000001</v>
      </c>
      <c r="E3" s="6">
        <v>6505.5838000000003</v>
      </c>
      <c r="F3" s="6">
        <f>SUM(C3:E3)</f>
        <v>8349.400740000001</v>
      </c>
      <c r="G3" s="12">
        <f>IF(F3=0,"-",E3/F3)</f>
        <v>0.77916775138523287</v>
      </c>
    </row>
    <row r="4" spans="1:7" x14ac:dyDescent="0.25">
      <c r="A4" s="1">
        <v>48030</v>
      </c>
      <c r="B4" s="2" t="str">
        <f>VLOOKUP(A4,[1]Planilha1!$1:$1048576,2,FALSE)</f>
        <v>Comércio de produtos alimentícios, bebidas e fumo</v>
      </c>
      <c r="C4" s="6">
        <v>491.36327999999997</v>
      </c>
      <c r="D4" s="6">
        <v>1675.6816100000001</v>
      </c>
      <c r="E4" s="6">
        <v>4249.0488599999999</v>
      </c>
      <c r="F4" s="6">
        <f>SUM(C4:E4)</f>
        <v>6416.09375</v>
      </c>
      <c r="G4" s="12">
        <f>IF(F4=0,"-",E4/F4)</f>
        <v>0.66224856206317118</v>
      </c>
    </row>
    <row r="5" spans="1:7" x14ac:dyDescent="0.25">
      <c r="A5" s="1">
        <v>56011</v>
      </c>
      <c r="B5" s="2" t="str">
        <f>VLOOKUP(A5,[1]Planilha1!$1:$1048576,2,FALSE)</f>
        <v>Restaurantes e outros estabelecimentos de serviços de alimentação e bebidas</v>
      </c>
      <c r="C5" s="6">
        <v>1692.0454099999999</v>
      </c>
      <c r="D5" s="6">
        <v>413.44600000000003</v>
      </c>
      <c r="E5" s="6">
        <v>3862.1446700000001</v>
      </c>
      <c r="F5" s="6">
        <f>SUM(C5:E5)</f>
        <v>5967.6360800000002</v>
      </c>
      <c r="G5" s="12">
        <f>IF(F5=0,"-",E5/F5)</f>
        <v>0.64718166761938334</v>
      </c>
    </row>
    <row r="6" spans="1:7" x14ac:dyDescent="0.25">
      <c r="A6" s="1">
        <v>48042</v>
      </c>
      <c r="B6" s="2" t="str">
        <f>VLOOKUP(A6,[1]Planilha1!$1:$1048576,2,FALSE)</f>
        <v>Comércio de artigos do vestuário, complementos, calçados e artigos de viagem</v>
      </c>
      <c r="C6" s="6">
        <v>419.55694999999997</v>
      </c>
      <c r="D6" s="6">
        <v>626.41634999999997</v>
      </c>
      <c r="E6" s="6">
        <v>3070.7931699999999</v>
      </c>
      <c r="F6" s="6">
        <f>SUM(C6:E6)</f>
        <v>4116.7664699999996</v>
      </c>
      <c r="G6" s="12">
        <f>IF(F6=0,"-",E6/F6)</f>
        <v>0.74592357676290544</v>
      </c>
    </row>
    <row r="7" spans="1:7" x14ac:dyDescent="0.25">
      <c r="A7" s="1">
        <v>84014</v>
      </c>
      <c r="B7" s="2" t="str">
        <f>VLOOKUP(A7,[1]Planilha1!$1:$1048576,2,FALSE)</f>
        <v>Defesa</v>
      </c>
      <c r="C7" s="6">
        <v>999.36158999999998</v>
      </c>
      <c r="D7" s="6">
        <v>1607.5821699999999</v>
      </c>
      <c r="E7" s="6">
        <v>2954.99586</v>
      </c>
      <c r="F7" s="6">
        <f>SUM(C7:E7)</f>
        <v>5561.9396200000001</v>
      </c>
      <c r="G7" s="12">
        <f>IF(F7=0,"-",E7/F7)</f>
        <v>0.53128873412689082</v>
      </c>
    </row>
    <row r="8" spans="1:7" x14ac:dyDescent="0.25">
      <c r="A8" s="1">
        <v>84016</v>
      </c>
      <c r="B8" s="2" t="str">
        <f>VLOOKUP(A8,[1]Planilha1!$1:$1048576,2,FALSE)</f>
        <v>Outros serviços coletivos prestados pela administração pública - Estadual</v>
      </c>
      <c r="C8" s="6">
        <v>2869.75</v>
      </c>
      <c r="D8" s="6">
        <v>1665.73254</v>
      </c>
      <c r="E8" s="6">
        <v>2881.9308900000001</v>
      </c>
      <c r="F8" s="6">
        <f>SUM(C8:E8)</f>
        <v>7417.4134300000005</v>
      </c>
      <c r="G8" s="12">
        <f>IF(F8=0,"-",E8/F8)</f>
        <v>0.38853583087925569</v>
      </c>
    </row>
    <row r="9" spans="1:7" x14ac:dyDescent="0.25">
      <c r="A9" s="1">
        <v>48050</v>
      </c>
      <c r="B9" s="2" t="str">
        <f>VLOOKUP(A9,[1]Planilha1!$1:$1048576,2,FALSE)</f>
        <v>Comércio de madeira, material de construção, ferragens e ferramentas</v>
      </c>
      <c r="C9" s="6">
        <v>60.301110000000001</v>
      </c>
      <c r="D9" s="6">
        <v>870.30820000000006</v>
      </c>
      <c r="E9" s="6">
        <v>2757.8210800000002</v>
      </c>
      <c r="F9" s="6">
        <f>SUM(C9:E9)</f>
        <v>3688.4303900000004</v>
      </c>
      <c r="G9" s="12">
        <f>IF(F9=0,"-",E9/F9)</f>
        <v>0.7476950324118764</v>
      </c>
    </row>
    <row r="10" spans="1:7" x14ac:dyDescent="0.25">
      <c r="A10" s="1">
        <v>48071</v>
      </c>
      <c r="B10" s="2" t="str">
        <f>VLOOKUP(A10,[1]Planilha1!$1:$1048576,2,FALSE)</f>
        <v>Comércio de produtos farmaceuticos, médicos, ortopédicos, odontológicos e de cosméticos e perfumaria</v>
      </c>
      <c r="C10" s="6">
        <v>371.37007999999997</v>
      </c>
      <c r="D10" s="6">
        <v>266.31797</v>
      </c>
      <c r="E10" s="6">
        <v>2115.7701900000002</v>
      </c>
      <c r="F10" s="6">
        <f>SUM(C10:E10)</f>
        <v>2753.4582399999999</v>
      </c>
      <c r="G10" s="12">
        <f>IF(F10=0,"-",E10/F10)</f>
        <v>0.76840467716699423</v>
      </c>
    </row>
    <row r="11" spans="1:7" x14ac:dyDescent="0.25">
      <c r="A11" s="1">
        <v>86001</v>
      </c>
      <c r="B11" s="2" t="str">
        <f>VLOOKUP(A11,[1]Planilha1!$1:$1048576,2,FALSE)</f>
        <v>Atividades de atendimento hospitalar</v>
      </c>
      <c r="C11" s="6">
        <v>1597.49775</v>
      </c>
      <c r="D11" s="6">
        <v>1601.5633600000001</v>
      </c>
      <c r="E11" s="6">
        <v>1863.0445</v>
      </c>
      <c r="F11" s="6">
        <f>SUM(C11:E11)</f>
        <v>5062.1056100000005</v>
      </c>
      <c r="G11" s="12">
        <f>IF(F11=0,"-",E11/F11)</f>
        <v>0.36803746178657853</v>
      </c>
    </row>
    <row r="12" spans="1:7" x14ac:dyDescent="0.25">
      <c r="A12" s="1">
        <v>78000</v>
      </c>
      <c r="B12" s="2" t="str">
        <f>VLOOKUP(A12,[1]Planilha1!$1:$1048576,2,FALSE)</f>
        <v>Seleção, agenciamento e locação de mão-de-obra</v>
      </c>
      <c r="C12" s="6">
        <v>2185.22541</v>
      </c>
      <c r="D12" s="6">
        <v>4542.1899400000002</v>
      </c>
      <c r="E12" s="6">
        <v>1778.65572</v>
      </c>
      <c r="F12" s="6">
        <f>SUM(C12:E12)</f>
        <v>8506.07107</v>
      </c>
      <c r="G12" s="12">
        <f>IF(F12=0,"-",E12/F12)</f>
        <v>0.20910426275100474</v>
      </c>
    </row>
    <row r="13" spans="1:7" x14ac:dyDescent="0.25">
      <c r="A13" s="1">
        <v>85012</v>
      </c>
      <c r="B13" s="2" t="str">
        <f>VLOOKUP(A13,[1]Planilha1!$1:$1048576,2,FALSE)</f>
        <v>Pré-escola e ensino fundamental</v>
      </c>
      <c r="C13" s="6">
        <v>6039.3291399999998</v>
      </c>
      <c r="D13" s="6">
        <v>2986.0149000000001</v>
      </c>
      <c r="E13" s="6">
        <v>1773.9329600000001</v>
      </c>
      <c r="F13" s="6">
        <f>SUM(C13:E13)</f>
        <v>10799.277</v>
      </c>
      <c r="G13" s="12">
        <f>IF(F13=0,"-",E13/F13)</f>
        <v>0.16426404841731534</v>
      </c>
    </row>
    <row r="14" spans="1:7" x14ac:dyDescent="0.25">
      <c r="A14" s="1">
        <v>48060</v>
      </c>
      <c r="B14" s="2" t="str">
        <f>VLOOKUP(A14,[1]Planilha1!$1:$1048576,2,FALSE)</f>
        <v>Comércio de combustíveis para veículos automotores</v>
      </c>
      <c r="C14" s="6">
        <v>926.52074000000005</v>
      </c>
      <c r="D14" s="6">
        <v>101.61784</v>
      </c>
      <c r="E14" s="6">
        <v>1478.90705</v>
      </c>
      <c r="F14" s="6">
        <f>SUM(C14:E14)</f>
        <v>2507.0456300000001</v>
      </c>
      <c r="G14" s="12">
        <f>IF(F14=0,"-",E14/F14)</f>
        <v>0.58990033220895144</v>
      </c>
    </row>
    <row r="15" spans="1:7" x14ac:dyDescent="0.25">
      <c r="A15" s="1">
        <v>86002</v>
      </c>
      <c r="B15" s="2" t="str">
        <f>VLOOKUP(A15,[1]Planilha1!$1:$1048576,2,FALSE)</f>
        <v>Atividades de atenção ambulatorial executadas por médicos e odontólogos</v>
      </c>
      <c r="C15" s="6">
        <v>734.61924999999997</v>
      </c>
      <c r="D15" s="6">
        <v>2352.3535099999999</v>
      </c>
      <c r="E15" s="6">
        <v>1472.4023299999999</v>
      </c>
      <c r="F15" s="6">
        <f>SUM(C15:E15)</f>
        <v>4559.3750899999995</v>
      </c>
      <c r="G15" s="12">
        <f>IF(F15=0,"-",E15/F15)</f>
        <v>0.32293950397487475</v>
      </c>
    </row>
    <row r="16" spans="1:7" x14ac:dyDescent="0.25">
      <c r="A16" s="1">
        <v>81011</v>
      </c>
      <c r="B16" s="2" t="str">
        <f>VLOOKUP(A16,[1]Planilha1!$1:$1048576,2,FALSE)</f>
        <v>Serviços de limpeza e de apoio a edifícios, exceto condomínios prediais</v>
      </c>
      <c r="C16" s="6">
        <v>457.35536000000002</v>
      </c>
      <c r="D16" s="6">
        <v>1661.5800400000001</v>
      </c>
      <c r="E16" s="6">
        <v>1461.8083799999999</v>
      </c>
      <c r="F16" s="6">
        <f>SUM(C16:E16)</f>
        <v>3580.7437800000002</v>
      </c>
      <c r="G16" s="12">
        <f>IF(F16=0,"-",E16/F16)</f>
        <v>0.40824154695592318</v>
      </c>
    </row>
    <row r="17" spans="1:7" x14ac:dyDescent="0.25">
      <c r="A17" s="3">
        <v>97000</v>
      </c>
      <c r="B17" s="2" t="str">
        <f>VLOOKUP(A17,[1]Planilha1!$1:$1048576,2,FALSE)</f>
        <v>Serviços domésticos</v>
      </c>
      <c r="C17" s="6">
        <v>481.92270000000002</v>
      </c>
      <c r="D17" s="6">
        <v>1410.0130899999999</v>
      </c>
      <c r="E17" s="6">
        <v>1432.3245999999999</v>
      </c>
      <c r="F17" s="6">
        <f>SUM(C17:E17)</f>
        <v>3324.2603899999999</v>
      </c>
      <c r="G17" s="12">
        <f>IF(F17=0,"-",E17/F17)</f>
        <v>0.43087015815869945</v>
      </c>
    </row>
    <row r="18" spans="1:7" x14ac:dyDescent="0.25">
      <c r="A18" s="1">
        <v>41000</v>
      </c>
      <c r="B18" s="2" t="str">
        <f>VLOOKUP(A18,[1]Planilha1!$1:$1048576,2,FALSE)</f>
        <v>Construção de edifícios</v>
      </c>
      <c r="C18" s="6">
        <v>126.31973000000001</v>
      </c>
      <c r="D18" s="6">
        <v>848.91614000000004</v>
      </c>
      <c r="E18" s="6">
        <v>1387.0390199999999</v>
      </c>
      <c r="F18" s="6">
        <f>SUM(C18:E18)</f>
        <v>2362.2748900000001</v>
      </c>
      <c r="G18" s="12">
        <f>IF(F18=0,"-",E18/F18)</f>
        <v>0.58716241106046718</v>
      </c>
    </row>
    <row r="19" spans="1:7" x14ac:dyDescent="0.25">
      <c r="A19" s="1">
        <v>48073</v>
      </c>
      <c r="B19" s="2" t="str">
        <f>VLOOKUP(A19,[1]Planilha1!$1:$1048576,2,FALSE)</f>
        <v>Comércio de eletrodomésticos, móveis e outros artigos de residência</v>
      </c>
      <c r="C19" s="6">
        <v>0</v>
      </c>
      <c r="D19" s="6">
        <v>124.64587</v>
      </c>
      <c r="E19" s="6">
        <v>1341.44805</v>
      </c>
      <c r="F19" s="6">
        <f>SUM(C19:E19)</f>
        <v>1466.09392</v>
      </c>
      <c r="G19" s="12">
        <f>IF(F19=0,"-",E19/F19)</f>
        <v>0.91498097884479324</v>
      </c>
    </row>
    <row r="20" spans="1:7" x14ac:dyDescent="0.25">
      <c r="A20" s="1">
        <v>69000</v>
      </c>
      <c r="B20" s="2" t="str">
        <f>VLOOKUP(A20,[1]Planilha1!$1:$1048576,2,FALSE)</f>
        <v xml:space="preserve">Atividades jurídicas, de contabilidade e de auditoria </v>
      </c>
      <c r="C20" s="6">
        <v>198.68566000000001</v>
      </c>
      <c r="D20" s="6">
        <v>746.76570000000004</v>
      </c>
      <c r="E20" s="6">
        <v>1334.38093</v>
      </c>
      <c r="F20" s="6">
        <f>SUM(C20:E20)</f>
        <v>2279.8322900000003</v>
      </c>
      <c r="G20" s="12">
        <f>IF(F20=0,"-",E20/F20)</f>
        <v>0.5852978466236215</v>
      </c>
    </row>
    <row r="21" spans="1:7" x14ac:dyDescent="0.25">
      <c r="A21" s="1">
        <v>49040</v>
      </c>
      <c r="B21" s="2" t="str">
        <f>VLOOKUP(A21,[1]Planilha1!$1:$1048576,2,FALSE)</f>
        <v>Transporte rodoviário de carga</v>
      </c>
      <c r="C21" s="6">
        <v>0</v>
      </c>
      <c r="D21" s="6">
        <v>471.46051999999997</v>
      </c>
      <c r="E21" s="6">
        <v>1307.18226</v>
      </c>
      <c r="F21" s="6">
        <f>SUM(C21:E21)</f>
        <v>1778.6427800000001</v>
      </c>
      <c r="G21" s="12">
        <f>IF(F21=0,"-",E21/F21)</f>
        <v>0.73493242977097395</v>
      </c>
    </row>
    <row r="22" spans="1:7" x14ac:dyDescent="0.25">
      <c r="A22" s="1">
        <v>42000</v>
      </c>
      <c r="B22" s="2" t="str">
        <f>VLOOKUP(A22,[1]Planilha1!$1:$1048576,2,FALSE)</f>
        <v>Construção de obras de infra-estrutura</v>
      </c>
      <c r="C22" s="6">
        <v>130.11552</v>
      </c>
      <c r="D22" s="6">
        <v>499.23694</v>
      </c>
      <c r="E22" s="6">
        <v>1164.84761</v>
      </c>
      <c r="F22" s="6">
        <f>SUM(C22:E22)</f>
        <v>1794.2000700000001</v>
      </c>
      <c r="G22" s="12">
        <f>IF(F22=0,"-",E22/F22)</f>
        <v>0.64922949757771442</v>
      </c>
    </row>
    <row r="23" spans="1:7" x14ac:dyDescent="0.25">
      <c r="A23" s="1">
        <v>45010</v>
      </c>
      <c r="B23" s="2" t="str">
        <f>VLOOKUP(A23,[1]Planilha1!$1:$1048576,2,FALSE)</f>
        <v>Comércio de veículos automotores</v>
      </c>
      <c r="C23" s="6">
        <v>124.01631999999999</v>
      </c>
      <c r="D23" s="6">
        <v>527.84262999999999</v>
      </c>
      <c r="E23" s="6">
        <v>1094.6033299999999</v>
      </c>
      <c r="F23" s="6">
        <f>SUM(C23:E23)</f>
        <v>1746.4622799999997</v>
      </c>
      <c r="G23" s="12">
        <f>IF(F23=0,"-",E23/F23)</f>
        <v>0.62675463566267231</v>
      </c>
    </row>
    <row r="24" spans="1:7" x14ac:dyDescent="0.25">
      <c r="A24" s="1">
        <v>56012</v>
      </c>
      <c r="B24" s="2" t="str">
        <f>VLOOKUP(A24,[1]Planilha1!$1:$1048576,2,FALSE)</f>
        <v>Serviços de catering, bufê e outros serviços de comida preparada</v>
      </c>
      <c r="C24" s="6">
        <v>85.923090000000002</v>
      </c>
      <c r="D24" s="6">
        <v>79.363640000000004</v>
      </c>
      <c r="E24" s="6">
        <v>907.44057999999995</v>
      </c>
      <c r="F24" s="6">
        <f>SUM(C24:E24)</f>
        <v>1072.72731</v>
      </c>
      <c r="G24" s="12">
        <f>IF(F24=0,"-",E24/F24)</f>
        <v>0.84591915535365647</v>
      </c>
    </row>
    <row r="25" spans="1:7" x14ac:dyDescent="0.25">
      <c r="A25" s="1">
        <v>43000</v>
      </c>
      <c r="B25" s="2" t="str">
        <f>VLOOKUP(A25,[1]Planilha1!$1:$1048576,2,FALSE)</f>
        <v>Serviços especializados para construção</v>
      </c>
      <c r="C25" s="6">
        <v>150.38847999999999</v>
      </c>
      <c r="D25" s="6">
        <v>220.77384000000001</v>
      </c>
      <c r="E25" s="6">
        <v>901.77491999999995</v>
      </c>
      <c r="F25" s="6">
        <f>SUM(C25:E25)</f>
        <v>1272.93724</v>
      </c>
      <c r="G25" s="12">
        <f>IF(F25=0,"-",E25/F25)</f>
        <v>0.70842056596600156</v>
      </c>
    </row>
    <row r="26" spans="1:7" x14ac:dyDescent="0.25">
      <c r="A26" s="1">
        <v>25001</v>
      </c>
      <c r="B26" s="2" t="str">
        <f>VLOOKUP(A26,[1]Planilha1!$1:$1048576,2,FALSE)</f>
        <v>Fabricação de produtos de metal, exceto máquinas e equipamentos</v>
      </c>
      <c r="C26" s="6">
        <v>0</v>
      </c>
      <c r="D26" s="6">
        <v>111.75048</v>
      </c>
      <c r="E26" s="6">
        <v>893.08339000000001</v>
      </c>
      <c r="F26" s="6">
        <f>SUM(C26:E26)</f>
        <v>1004.83387</v>
      </c>
      <c r="G26" s="12">
        <f>IF(F26=0,"-",E26/F26)</f>
        <v>0.88878710865906618</v>
      </c>
    </row>
    <row r="27" spans="1:7" x14ac:dyDescent="0.25">
      <c r="A27" s="1">
        <v>45020</v>
      </c>
      <c r="B27" s="2" t="str">
        <f>VLOOKUP(A27,[1]Planilha1!$1:$1048576,2,FALSE)</f>
        <v>Manutenção e reparação de veículos automotores</v>
      </c>
      <c r="C27" s="6">
        <v>0</v>
      </c>
      <c r="D27" s="6">
        <v>301.91788000000003</v>
      </c>
      <c r="E27" s="6">
        <v>836.48030000000006</v>
      </c>
      <c r="F27" s="6">
        <f>SUM(C27:E27)</f>
        <v>1138.3981800000001</v>
      </c>
      <c r="G27" s="12">
        <f>IF(F27=0,"-",E27/F27)</f>
        <v>0.73478710234761613</v>
      </c>
    </row>
    <row r="28" spans="1:7" x14ac:dyDescent="0.25">
      <c r="A28" s="1">
        <v>35010</v>
      </c>
      <c r="B28" s="2" t="str">
        <f>VLOOKUP(A28,[1]Planilha1!$1:$1048576,2,FALSE)</f>
        <v>Geração, transmissão e distribuição de energia elétrica</v>
      </c>
      <c r="C28" s="6">
        <v>572.26005999999995</v>
      </c>
      <c r="D28" s="6">
        <v>1115.2123999999999</v>
      </c>
      <c r="E28" s="6">
        <v>683.82435999999996</v>
      </c>
      <c r="F28" s="6">
        <f>SUM(C28:E28)</f>
        <v>2371.29682</v>
      </c>
      <c r="G28" s="12">
        <f>IF(F28=0,"-",E28/F28)</f>
        <v>0.2883756914075396</v>
      </c>
    </row>
    <row r="29" spans="1:7" x14ac:dyDescent="0.25">
      <c r="A29" s="1">
        <v>10010</v>
      </c>
      <c r="B29" s="2" t="str">
        <f>VLOOKUP(A29,[1]Planilha1!$1:$1048576,2,FALSE)</f>
        <v xml:space="preserve">Abate e fabricação de produtos de carne e pescado </v>
      </c>
      <c r="C29" s="6">
        <v>411.07967000000002</v>
      </c>
      <c r="D29" s="6">
        <v>0</v>
      </c>
      <c r="E29" s="6">
        <v>673.71550000000002</v>
      </c>
      <c r="F29" s="6">
        <f>SUM(C29:E29)</f>
        <v>1084.7951700000001</v>
      </c>
      <c r="G29" s="12">
        <f>IF(F29=0,"-",E29/F29)</f>
        <v>0.62105318923940267</v>
      </c>
    </row>
    <row r="30" spans="1:7" x14ac:dyDescent="0.25">
      <c r="A30" s="1">
        <v>48079</v>
      </c>
      <c r="B30" s="2" t="str">
        <f>VLOOKUP(A30,[1]Planilha1!$1:$1048576,2,FALSE)</f>
        <v>Comércio de produtos novos não especificados anteriormente</v>
      </c>
      <c r="C30" s="6">
        <v>741.30906000000004</v>
      </c>
      <c r="D30" s="6">
        <v>118.16434</v>
      </c>
      <c r="E30" s="6">
        <v>633.04776000000004</v>
      </c>
      <c r="F30" s="6">
        <f>SUM(C30:E30)</f>
        <v>1492.5211600000002</v>
      </c>
      <c r="G30" s="12">
        <f>IF(F30=0,"-",E30/F30)</f>
        <v>0.42414658965371044</v>
      </c>
    </row>
    <row r="31" spans="1:7" x14ac:dyDescent="0.25">
      <c r="A31" s="1">
        <v>45030</v>
      </c>
      <c r="B31" s="2" t="str">
        <f>VLOOKUP(A31,[1]Planilha1!$1:$1048576,2,FALSE)</f>
        <v>Comércio de peças e acessórios para veículos automotores</v>
      </c>
      <c r="C31" s="6">
        <v>0</v>
      </c>
      <c r="D31" s="6">
        <v>115.42589</v>
      </c>
      <c r="E31" s="6">
        <v>625.34258999999997</v>
      </c>
      <c r="F31" s="6">
        <f>SUM(C31:E31)</f>
        <v>740.76847999999995</v>
      </c>
      <c r="G31" s="12">
        <f>IF(F31=0,"-",E31/F31)</f>
        <v>0.84418088361427046</v>
      </c>
    </row>
    <row r="32" spans="1:7" x14ac:dyDescent="0.25">
      <c r="A32" s="1">
        <v>10022</v>
      </c>
      <c r="B32" s="2" t="str">
        <f>VLOOKUP(A32,[1]Planilha1!$1:$1048576,2,FALSE)</f>
        <v>Fabricação de óleos vegetais e gorduras vegetais e animais</v>
      </c>
      <c r="C32" s="6">
        <v>0</v>
      </c>
      <c r="D32" s="6">
        <v>58.704819999999998</v>
      </c>
      <c r="E32" s="6">
        <v>577.73635000000002</v>
      </c>
      <c r="F32" s="6">
        <f>SUM(C32:E32)</f>
        <v>636.44117000000006</v>
      </c>
      <c r="G32" s="12">
        <f>IF(F32=0,"-",E32/F32)</f>
        <v>0.90776080686295002</v>
      </c>
    </row>
    <row r="33" spans="1:7" x14ac:dyDescent="0.25">
      <c r="A33" s="1">
        <v>48075</v>
      </c>
      <c r="B33" s="2" t="str">
        <f>VLOOKUP(A33,[1]Planilha1!$1:$1048576,2,FALSE)</f>
        <v xml:space="preserve">Comércio de máquinas, aparelhos e equipamentos, exceto eletrodomésticos </v>
      </c>
      <c r="C33" s="6">
        <v>0</v>
      </c>
      <c r="D33" s="6">
        <v>740.90480000000002</v>
      </c>
      <c r="E33" s="6">
        <v>547.96906999999999</v>
      </c>
      <c r="F33" s="6">
        <f>SUM(C33:E33)</f>
        <v>1288.8738699999999</v>
      </c>
      <c r="G33" s="12">
        <f>IF(F33=0,"-",E33/F33)</f>
        <v>0.42515337051561147</v>
      </c>
    </row>
    <row r="34" spans="1:7" x14ac:dyDescent="0.25">
      <c r="A34" s="1">
        <v>1201</v>
      </c>
      <c r="B34" s="2" t="str">
        <f>VLOOKUP(A34,[1]Planilha1!$1:$1048576,2,FALSE)</f>
        <v>Criação de bovinos</v>
      </c>
      <c r="C34" s="6">
        <v>0</v>
      </c>
      <c r="D34" s="6">
        <v>69.855019999999996</v>
      </c>
      <c r="E34" s="6">
        <v>529.18862999999999</v>
      </c>
      <c r="F34" s="6">
        <f>SUM(C34:E34)</f>
        <v>599.04364999999996</v>
      </c>
      <c r="G34" s="12">
        <f>IF(F34=0,"-",E34/F34)</f>
        <v>0.8833890986074221</v>
      </c>
    </row>
    <row r="35" spans="1:7" x14ac:dyDescent="0.25">
      <c r="A35" s="1">
        <v>48020</v>
      </c>
      <c r="B35" s="2" t="str">
        <f>VLOOKUP(A35,[1]Planilha1!$1:$1048576,2,FALSE)</f>
        <v>Comércio de matérias-primas agrícolas e animais vivos</v>
      </c>
      <c r="C35" s="6">
        <v>0</v>
      </c>
      <c r="D35" s="6">
        <v>75.785359999999997</v>
      </c>
      <c r="E35" s="6">
        <v>521.27153999999996</v>
      </c>
      <c r="F35" s="6">
        <f>SUM(C35:E35)</f>
        <v>597.05689999999993</v>
      </c>
      <c r="G35" s="12">
        <f>IF(F35=0,"-",E35/F35)</f>
        <v>0.87306844624021596</v>
      </c>
    </row>
    <row r="36" spans="1:7" x14ac:dyDescent="0.25">
      <c r="A36" s="1">
        <v>68000</v>
      </c>
      <c r="B36" s="2" t="str">
        <f>VLOOKUP(A36,[1]Planilha1!$1:$1048576,2,FALSE)</f>
        <v>Atividades imobiliárias</v>
      </c>
      <c r="C36" s="6">
        <v>0</v>
      </c>
      <c r="D36" s="6">
        <v>0</v>
      </c>
      <c r="E36" s="6">
        <v>514.74342000000001</v>
      </c>
      <c r="F36" s="6">
        <f>SUM(C36:E36)</f>
        <v>514.74342000000001</v>
      </c>
      <c r="G36" s="12">
        <f>IF(F36=0,"-",E36/F36)</f>
        <v>1</v>
      </c>
    </row>
    <row r="37" spans="1:7" x14ac:dyDescent="0.25">
      <c r="A37" s="1">
        <v>84012</v>
      </c>
      <c r="B37" s="2" t="str">
        <f>VLOOKUP(A37,[1]Planilha1!$1:$1048576,2,FALSE)</f>
        <v>Administração publica e regulação da política econômica e social - Estadual</v>
      </c>
      <c r="C37" s="6">
        <v>4758.4811600000003</v>
      </c>
      <c r="D37" s="6">
        <v>3047.1452800000002</v>
      </c>
      <c r="E37" s="6">
        <v>508.09210999999999</v>
      </c>
      <c r="F37" s="6">
        <f>SUM(C37:E37)</f>
        <v>8313.7185499999996</v>
      </c>
      <c r="G37" s="12">
        <f>IF(F37=0,"-",E37/F37)</f>
        <v>6.111490387174582E-2</v>
      </c>
    </row>
    <row r="38" spans="1:7" x14ac:dyDescent="0.25">
      <c r="A38" s="1">
        <v>85013</v>
      </c>
      <c r="B38" s="2" t="str">
        <f>VLOOKUP(A38,[1]Planilha1!$1:$1048576,2,FALSE)</f>
        <v>Ensino médio</v>
      </c>
      <c r="C38" s="6">
        <v>2357.1476499999999</v>
      </c>
      <c r="D38" s="6">
        <v>1501.4650300000001</v>
      </c>
      <c r="E38" s="6">
        <v>483.18245999999999</v>
      </c>
      <c r="F38" s="6">
        <f>SUM(C38:E38)</f>
        <v>4341.7951400000002</v>
      </c>
      <c r="G38" s="12">
        <f>IF(F38=0,"-",E38/F38)</f>
        <v>0.1112863330534752</v>
      </c>
    </row>
    <row r="39" spans="1:7" x14ac:dyDescent="0.25">
      <c r="A39" s="1">
        <v>1205</v>
      </c>
      <c r="B39" s="2" t="str">
        <f>VLOOKUP(A39,[1]Planilha1!$1:$1048576,2,FALSE)</f>
        <v>Criação de aves</v>
      </c>
      <c r="C39" s="6">
        <v>0</v>
      </c>
      <c r="D39" s="6">
        <v>423.03640999999999</v>
      </c>
      <c r="E39" s="6">
        <v>456.53278</v>
      </c>
      <c r="F39" s="6">
        <f>SUM(C39:E39)</f>
        <v>879.56918999999994</v>
      </c>
      <c r="G39" s="12">
        <f>IF(F39=0,"-",E39/F39)</f>
        <v>0.51904135023192433</v>
      </c>
    </row>
    <row r="40" spans="1:7" x14ac:dyDescent="0.25">
      <c r="A40" s="1">
        <v>85029</v>
      </c>
      <c r="B40" s="2" t="str">
        <f>VLOOKUP(A40,[1]Planilha1!$1:$1048576,2,FALSE)</f>
        <v>Outras atividades de ensino</v>
      </c>
      <c r="C40" s="6">
        <v>120.57559000000001</v>
      </c>
      <c r="D40" s="6">
        <v>350.36896999999999</v>
      </c>
      <c r="E40" s="6">
        <v>417.96132</v>
      </c>
      <c r="F40" s="6">
        <f>SUM(C40:E40)</f>
        <v>888.90588000000002</v>
      </c>
      <c r="G40" s="12">
        <f>IF(F40=0,"-",E40/F40)</f>
        <v>0.47019749717484149</v>
      </c>
    </row>
    <row r="41" spans="1:7" x14ac:dyDescent="0.25">
      <c r="A41" s="1">
        <v>31000</v>
      </c>
      <c r="B41" s="2" t="str">
        <f>VLOOKUP(A41,[1]Planilha1!$1:$1048576,2,FALSE)</f>
        <v>Fabricação de móveis</v>
      </c>
      <c r="C41" s="6">
        <v>0</v>
      </c>
      <c r="D41" s="6">
        <v>317.57584000000003</v>
      </c>
      <c r="E41" s="6">
        <v>413.27032000000003</v>
      </c>
      <c r="F41" s="6">
        <f>SUM(C41:E41)</f>
        <v>730.84616000000005</v>
      </c>
      <c r="G41" s="12">
        <f>IF(F41=0,"-",E41/F41)</f>
        <v>0.56546827857725901</v>
      </c>
    </row>
    <row r="42" spans="1:7" x14ac:dyDescent="0.25">
      <c r="A42" s="1">
        <v>80000</v>
      </c>
      <c r="B42" s="2" t="str">
        <f>VLOOKUP(A42,[1]Planilha1!$1:$1048576,2,FALSE)</f>
        <v>Atividades de vigilância, segurança, transporte de valores e investigação</v>
      </c>
      <c r="C42" s="6">
        <v>591.85694000000001</v>
      </c>
      <c r="D42" s="6">
        <v>605.05620999999996</v>
      </c>
      <c r="E42" s="6">
        <v>387.40823999999998</v>
      </c>
      <c r="F42" s="6">
        <f>SUM(C42:E42)</f>
        <v>1584.3213899999998</v>
      </c>
      <c r="G42" s="12">
        <f>IF(F42=0,"-",E42/F42)</f>
        <v>0.24452629526134215</v>
      </c>
    </row>
    <row r="43" spans="1:7" x14ac:dyDescent="0.25">
      <c r="A43" s="1">
        <v>45040</v>
      </c>
      <c r="B43" s="2" t="str">
        <f>VLOOKUP(A43,[1]Planilha1!$1:$1048576,2,FALSE)</f>
        <v>Comércio, manutenção e reparação de motocicletas, peças e acessórios</v>
      </c>
      <c r="C43" s="6">
        <v>0</v>
      </c>
      <c r="D43" s="6">
        <v>245.61908</v>
      </c>
      <c r="E43" s="6">
        <v>377.88427999999999</v>
      </c>
      <c r="F43" s="6">
        <f>SUM(C43:E43)</f>
        <v>623.50335999999993</v>
      </c>
      <c r="G43" s="12">
        <f>IF(F43=0,"-",E43/F43)</f>
        <v>0.60606614854489327</v>
      </c>
    </row>
    <row r="44" spans="1:7" x14ac:dyDescent="0.25">
      <c r="A44" s="1">
        <v>1117</v>
      </c>
      <c r="B44" s="2" t="str">
        <f>VLOOKUP(A44,[1]Planilha1!$1:$1048576,2,FALSE)</f>
        <v>Cultivo de outras plantas e frutas de lavoura permanente não especificadas anteriormente</v>
      </c>
      <c r="C44" s="6">
        <v>0</v>
      </c>
      <c r="D44" s="6">
        <v>30.319410000000001</v>
      </c>
      <c r="E44" s="6">
        <v>377.54602</v>
      </c>
      <c r="F44" s="6">
        <f>SUM(C44:E44)</f>
        <v>407.86543</v>
      </c>
      <c r="G44" s="12">
        <f>IF(F44=0,"-",E44/F44)</f>
        <v>0.92566320219882325</v>
      </c>
    </row>
    <row r="45" spans="1:7" x14ac:dyDescent="0.25">
      <c r="A45" s="1">
        <v>49030</v>
      </c>
      <c r="B45" s="2" t="str">
        <f>VLOOKUP(A45,[1]Planilha1!$1:$1048576,2,FALSE)</f>
        <v>Transporte rodoviário de passageiros</v>
      </c>
      <c r="C45" s="6">
        <v>125.03222</v>
      </c>
      <c r="D45" s="6">
        <v>246.91317000000001</v>
      </c>
      <c r="E45" s="6">
        <v>363.78230000000002</v>
      </c>
      <c r="F45" s="6">
        <f>SUM(C45:E45)</f>
        <v>735.72768999999994</v>
      </c>
      <c r="G45" s="12">
        <f>IF(F45=0,"-",E45/F45)</f>
        <v>0.49445237000662573</v>
      </c>
    </row>
    <row r="46" spans="1:7" x14ac:dyDescent="0.25">
      <c r="A46" s="1">
        <v>82003</v>
      </c>
      <c r="B46" s="2" t="str">
        <f>VLOOKUP(A46,[1]Planilha1!$1:$1048576,2,FALSE)</f>
        <v>Atividades de organização de eventos, exceto culturais e esportivos</v>
      </c>
      <c r="C46" s="6">
        <v>0</v>
      </c>
      <c r="D46" s="6">
        <v>0</v>
      </c>
      <c r="E46" s="6">
        <v>282.1694</v>
      </c>
      <c r="F46" s="6">
        <f>SUM(C46:E46)</f>
        <v>282.1694</v>
      </c>
      <c r="G46" s="12">
        <f>IF(F46=0,"-",E46/F46)</f>
        <v>1</v>
      </c>
    </row>
    <row r="47" spans="1:7" x14ac:dyDescent="0.25">
      <c r="A47" s="1">
        <v>86003</v>
      </c>
      <c r="B47" s="2" t="str">
        <f>VLOOKUP(A47,[1]Planilha1!$1:$1048576,2,FALSE)</f>
        <v>Atividades de serviços de complementação diagnóstica e terapêutica</v>
      </c>
      <c r="C47" s="6">
        <v>244.28783999999999</v>
      </c>
      <c r="D47" s="6">
        <v>86.542050000000003</v>
      </c>
      <c r="E47" s="6">
        <v>274.16072000000003</v>
      </c>
      <c r="F47" s="6">
        <f>SUM(C47:E47)</f>
        <v>604.99061000000006</v>
      </c>
      <c r="G47" s="12">
        <f>IF(F47=0,"-",E47/F47)</f>
        <v>0.45316524830030008</v>
      </c>
    </row>
    <row r="48" spans="1:7" x14ac:dyDescent="0.25">
      <c r="A48" s="1">
        <v>48074</v>
      </c>
      <c r="B48" s="2" t="str">
        <f>VLOOKUP(A48,[1]Planilha1!$1:$1048576,2,FALSE)</f>
        <v>Comércio de equipamentos e produtos de tecnologias de informação e comunicação</v>
      </c>
      <c r="C48" s="6">
        <v>781.23762999999997</v>
      </c>
      <c r="D48" s="6">
        <v>181.20532</v>
      </c>
      <c r="E48" s="6">
        <v>270.41870999999998</v>
      </c>
      <c r="F48" s="6">
        <f>SUM(C48:E48)</f>
        <v>1232.86166</v>
      </c>
      <c r="G48" s="12">
        <f>IF(F48=0,"-",E48/F48)</f>
        <v>0.21934229830782473</v>
      </c>
    </row>
    <row r="49" spans="1:7" x14ac:dyDescent="0.25">
      <c r="A49" s="1">
        <v>74000</v>
      </c>
      <c r="B49" s="2" t="str">
        <f>VLOOKUP(A49,[1]Planilha1!$1:$1048576,2,FALSE)</f>
        <v>Outras atividades profissionais, científicas e técnicas não especificadas anteriormente</v>
      </c>
      <c r="C49" s="6">
        <v>0</v>
      </c>
      <c r="D49" s="6">
        <v>0</v>
      </c>
      <c r="E49" s="6">
        <v>235.39707000000001</v>
      </c>
      <c r="F49" s="6">
        <f>SUM(C49:E49)</f>
        <v>235.39707000000001</v>
      </c>
      <c r="G49" s="12">
        <f>IF(F49=0,"-",E49/F49)</f>
        <v>1</v>
      </c>
    </row>
    <row r="50" spans="1:7" x14ac:dyDescent="0.25">
      <c r="A50" s="1">
        <v>55000</v>
      </c>
      <c r="B50" s="2" t="str">
        <f>VLOOKUP(A50,[1]Planilha1!$1:$1048576,2,FALSE)</f>
        <v>Alojamento</v>
      </c>
      <c r="C50" s="6">
        <v>0</v>
      </c>
      <c r="D50" s="6">
        <v>403.54064</v>
      </c>
      <c r="E50" s="6">
        <v>228.73952</v>
      </c>
      <c r="F50" s="6">
        <f>SUM(C50:E50)</f>
        <v>632.28016000000002</v>
      </c>
      <c r="G50" s="12">
        <f>IF(F50=0,"-",E50/F50)</f>
        <v>0.36176925114968023</v>
      </c>
    </row>
    <row r="51" spans="1:7" x14ac:dyDescent="0.25">
      <c r="A51" s="1">
        <v>23099</v>
      </c>
      <c r="B51" s="2" t="str">
        <f>VLOOKUP(A51,[1]Planilha1!$1:$1048576,2,FALSE)</f>
        <v>Fabricação de outros produtos de minerais não-metálicos não especificados anteriormente</v>
      </c>
      <c r="C51" s="6">
        <v>0</v>
      </c>
      <c r="D51" s="6">
        <v>111.04906</v>
      </c>
      <c r="E51" s="6">
        <v>214.47619</v>
      </c>
      <c r="F51" s="6">
        <f>SUM(C51:E51)</f>
        <v>325.52525000000003</v>
      </c>
      <c r="G51" s="12">
        <f>IF(F51=0,"-",E51/F51)</f>
        <v>0.65886191624152035</v>
      </c>
    </row>
    <row r="52" spans="1:7" x14ac:dyDescent="0.25">
      <c r="A52" s="1">
        <v>73010</v>
      </c>
      <c r="B52" s="2" t="str">
        <f>VLOOKUP(A52,[1]Planilha1!$1:$1048576,2,FALSE)</f>
        <v>Publicidade</v>
      </c>
      <c r="C52" s="6">
        <v>165.40424999999999</v>
      </c>
      <c r="D52" s="6">
        <v>222.54810000000001</v>
      </c>
      <c r="E52" s="6">
        <v>210.27394000000001</v>
      </c>
      <c r="F52" s="6">
        <f>SUM(C52:E52)</f>
        <v>598.22629000000006</v>
      </c>
      <c r="G52" s="12">
        <f>IF(F52=0,"-",E52/F52)</f>
        <v>0.35149565225560381</v>
      </c>
    </row>
    <row r="53" spans="1:7" x14ac:dyDescent="0.25">
      <c r="A53" s="1">
        <v>48072</v>
      </c>
      <c r="B53" s="2" t="str">
        <f>VLOOKUP(A53,[1]Planilha1!$1:$1048576,2,FALSE)</f>
        <v>Comércio de artigos de escritório e de papelaria; livros, jornais e outras publicações</v>
      </c>
      <c r="C53" s="6">
        <v>0</v>
      </c>
      <c r="D53" s="6">
        <v>133.17749000000001</v>
      </c>
      <c r="E53" s="6">
        <v>199.43119999999999</v>
      </c>
      <c r="F53" s="6">
        <f>SUM(C53:E53)</f>
        <v>332.60869000000002</v>
      </c>
      <c r="G53" s="12">
        <f>IF(F53=0,"-",E53/F53)</f>
        <v>0.59959708208465623</v>
      </c>
    </row>
    <row r="54" spans="1:7" x14ac:dyDescent="0.25">
      <c r="A54" s="1">
        <v>85014</v>
      </c>
      <c r="B54" s="2" t="str">
        <f>VLOOKUP(A54,[1]Planilha1!$1:$1048576,2,FALSE)</f>
        <v>Educação superior</v>
      </c>
      <c r="C54" s="6">
        <v>856.89814000000001</v>
      </c>
      <c r="D54" s="6">
        <v>2207.306</v>
      </c>
      <c r="E54" s="6">
        <v>199.20218</v>
      </c>
      <c r="F54" s="6">
        <f>SUM(C54:E54)</f>
        <v>3263.4063200000001</v>
      </c>
      <c r="G54" s="12">
        <f>IF(F54=0,"-",E54/F54)</f>
        <v>6.1041182269941791E-2</v>
      </c>
    </row>
    <row r="55" spans="1:7" x14ac:dyDescent="0.25">
      <c r="A55" s="1">
        <v>18000</v>
      </c>
      <c r="B55" s="2" t="str">
        <f>VLOOKUP(A55,[1]Planilha1!$1:$1048576,2,FALSE)</f>
        <v>Impressão e reprodução de gravações</v>
      </c>
      <c r="C55" s="6">
        <v>0</v>
      </c>
      <c r="D55" s="6">
        <v>0</v>
      </c>
      <c r="E55" s="6">
        <v>198.67811</v>
      </c>
      <c r="F55" s="6">
        <f>SUM(C55:E55)</f>
        <v>198.67811</v>
      </c>
      <c r="G55" s="12">
        <f>IF(F55=0,"-",E55/F55)</f>
        <v>1</v>
      </c>
    </row>
    <row r="56" spans="1:7" x14ac:dyDescent="0.25">
      <c r="A56" s="1">
        <v>84013</v>
      </c>
      <c r="B56" s="2" t="str">
        <f>VLOOKUP(A56,[1]Planilha1!$1:$1048576,2,FALSE)</f>
        <v>Administração publica e regulação da política econômica e social - Municipal</v>
      </c>
      <c r="C56" s="6">
        <v>2008.0927899999999</v>
      </c>
      <c r="D56" s="6">
        <v>924.56322999999998</v>
      </c>
      <c r="E56" s="6">
        <v>196.29714000000001</v>
      </c>
      <c r="F56" s="6">
        <f>SUM(C56:E56)</f>
        <v>3128.95316</v>
      </c>
      <c r="G56" s="12">
        <f>IF(F56=0,"-",E56/F56)</f>
        <v>6.2735723407249727E-2</v>
      </c>
    </row>
    <row r="57" spans="1:7" x14ac:dyDescent="0.25">
      <c r="A57" s="1">
        <v>51000</v>
      </c>
      <c r="B57" s="2" t="str">
        <f>VLOOKUP(A57,[1]Planilha1!$1:$1048576,2,FALSE)</f>
        <v>Transporte Aéreo</v>
      </c>
      <c r="C57" s="6">
        <v>0</v>
      </c>
      <c r="D57" s="6">
        <v>0</v>
      </c>
      <c r="E57" s="6">
        <v>185.96782999999999</v>
      </c>
      <c r="F57" s="6">
        <f>SUM(C57:E57)</f>
        <v>185.96782999999999</v>
      </c>
      <c r="G57" s="12">
        <f>IF(F57=0,"-",E57/F57)</f>
        <v>1</v>
      </c>
    </row>
    <row r="58" spans="1:7" x14ac:dyDescent="0.25">
      <c r="A58" s="1">
        <v>94091</v>
      </c>
      <c r="B58" s="2" t="str">
        <f>VLOOKUP(A58,[1]Planilha1!$1:$1048576,2,FALSE)</f>
        <v>Atividades de organizações religiosas e filosóficas</v>
      </c>
      <c r="C58" s="6">
        <v>0</v>
      </c>
      <c r="D58" s="6">
        <v>0</v>
      </c>
      <c r="E58" s="6">
        <v>177.31204</v>
      </c>
      <c r="F58" s="6">
        <f>SUM(C58:E58)</f>
        <v>177.31204</v>
      </c>
      <c r="G58" s="12">
        <f>IF(F58=0,"-",E58/F58)</f>
        <v>1</v>
      </c>
    </row>
    <row r="59" spans="1:7" x14ac:dyDescent="0.25">
      <c r="A59" s="1">
        <v>71000</v>
      </c>
      <c r="B59" s="2" t="str">
        <f>VLOOKUP(A59,[1]Planilha1!$1:$1048576,2,FALSE)</f>
        <v>Serviços de arquitetura e engenharia e atividades técnicas relacionadas; Testes e análises técnicas</v>
      </c>
      <c r="C59" s="6">
        <v>107.008</v>
      </c>
      <c r="D59" s="6">
        <v>0</v>
      </c>
      <c r="E59" s="6">
        <v>177.02880999999999</v>
      </c>
      <c r="F59" s="6">
        <f>SUM(C59:E59)</f>
        <v>284.03681</v>
      </c>
      <c r="G59" s="12">
        <f>IF(F59=0,"-",E59/F59)</f>
        <v>0.62326009787252568</v>
      </c>
    </row>
    <row r="60" spans="1:7" x14ac:dyDescent="0.25">
      <c r="A60" s="1">
        <v>93012</v>
      </c>
      <c r="B60" s="2" t="str">
        <f>VLOOKUP(A60,[1]Planilha1!$1:$1048576,2,FALSE)</f>
        <v>Atividades de condicionamento físico</v>
      </c>
      <c r="C60" s="6">
        <v>85.563599999999994</v>
      </c>
      <c r="D60" s="6">
        <v>492.39997</v>
      </c>
      <c r="E60" s="6">
        <v>173.96951000000001</v>
      </c>
      <c r="F60" s="6">
        <f>SUM(C60:E60)</f>
        <v>751.93308000000002</v>
      </c>
      <c r="G60" s="12">
        <f>IF(F60=0,"-",E60/F60)</f>
        <v>0.23136302235831946</v>
      </c>
    </row>
    <row r="61" spans="1:7" x14ac:dyDescent="0.25">
      <c r="A61" s="1">
        <v>75000</v>
      </c>
      <c r="B61" s="2" t="str">
        <f>VLOOKUP(A61,[1]Planilha1!$1:$1048576,2,FALSE)</f>
        <v>Atividades veterinárias</v>
      </c>
      <c r="C61" s="6">
        <v>0</v>
      </c>
      <c r="D61" s="6">
        <v>0</v>
      </c>
      <c r="E61" s="6">
        <v>171.79258999999999</v>
      </c>
      <c r="F61" s="6">
        <f>SUM(C61:E61)</f>
        <v>171.79258999999999</v>
      </c>
      <c r="G61" s="12">
        <f>IF(F61=0,"-",E61/F61)</f>
        <v>1</v>
      </c>
    </row>
    <row r="62" spans="1:7" x14ac:dyDescent="0.25">
      <c r="A62" s="1">
        <v>8001</v>
      </c>
      <c r="B62" s="2" t="str">
        <f>VLOOKUP(A62,[1]Planilha1!$1:$1048576,2,FALSE)</f>
        <v>Extração de pedras, areia e argila</v>
      </c>
      <c r="C62" s="6">
        <v>0</v>
      </c>
      <c r="D62" s="6">
        <v>0</v>
      </c>
      <c r="E62" s="6">
        <v>165.15074000000001</v>
      </c>
      <c r="F62" s="6">
        <f>SUM(C62:E62)</f>
        <v>165.15074000000001</v>
      </c>
      <c r="G62" s="12">
        <f>IF(F62=0,"-",E62/F62)</f>
        <v>1</v>
      </c>
    </row>
    <row r="63" spans="1:7" x14ac:dyDescent="0.25">
      <c r="A63" s="1">
        <v>62000</v>
      </c>
      <c r="B63" s="2" t="str">
        <f>VLOOKUP(A63,[1]Planilha1!$1:$1048576,2,FALSE)</f>
        <v>Atividades dos serviços de tecnologia da informação</v>
      </c>
      <c r="C63" s="6">
        <v>0</v>
      </c>
      <c r="D63" s="6">
        <v>0</v>
      </c>
      <c r="E63" s="6">
        <v>161.44310999999999</v>
      </c>
      <c r="F63" s="6">
        <f>SUM(C63:E63)</f>
        <v>161.44310999999999</v>
      </c>
      <c r="G63" s="12">
        <f>IF(F63=0,"-",E63/F63)</f>
        <v>1</v>
      </c>
    </row>
    <row r="64" spans="1:7" x14ac:dyDescent="0.25">
      <c r="A64" s="1">
        <v>96020</v>
      </c>
      <c r="B64" s="2" t="str">
        <f>VLOOKUP(A64,[1]Planilha1!$1:$1048576,2,FALSE)</f>
        <v>Cabeleireiros e outras atividades de tratamento de beleza</v>
      </c>
      <c r="C64" s="6">
        <v>268.63702000000001</v>
      </c>
      <c r="D64" s="6">
        <v>566.52795000000003</v>
      </c>
      <c r="E64" s="6">
        <v>160.62234000000001</v>
      </c>
      <c r="F64" s="6">
        <f>SUM(C64:E64)</f>
        <v>995.78731000000005</v>
      </c>
      <c r="G64" s="12">
        <f>IF(F64=0,"-",E64/F64)</f>
        <v>0.1613018547103196</v>
      </c>
    </row>
    <row r="65" spans="1:7" x14ac:dyDescent="0.25">
      <c r="A65" s="1">
        <v>1107</v>
      </c>
      <c r="B65" s="2" t="str">
        <f>VLOOKUP(A65,[1]Planilha1!$1:$1048576,2,FALSE)</f>
        <v>Cultivo de soja</v>
      </c>
      <c r="C65" s="6">
        <v>0</v>
      </c>
      <c r="D65" s="6">
        <v>130.69199</v>
      </c>
      <c r="E65" s="6">
        <v>157.65323000000001</v>
      </c>
      <c r="F65" s="6">
        <f>SUM(C65:E65)</f>
        <v>288.34522000000004</v>
      </c>
      <c r="G65" s="12">
        <f>IF(F65=0,"-",E65/F65)</f>
        <v>0.5467516680179404</v>
      </c>
    </row>
    <row r="66" spans="1:7" x14ac:dyDescent="0.25">
      <c r="A66" s="1">
        <v>48078</v>
      </c>
      <c r="B66" s="2" t="str">
        <f>VLOOKUP(A66,[1]Planilha1!$1:$1048576,2,FALSE)</f>
        <v>Comercio de residuos e sucatas</v>
      </c>
      <c r="C66" s="6">
        <v>0</v>
      </c>
      <c r="D66" s="6">
        <v>0</v>
      </c>
      <c r="E66" s="6">
        <v>150.08391</v>
      </c>
      <c r="F66" s="6">
        <f>SUM(C66:E66)</f>
        <v>150.08391</v>
      </c>
      <c r="G66" s="12">
        <f>IF(F66=0,"-",E66/F66)</f>
        <v>1</v>
      </c>
    </row>
    <row r="67" spans="1:7" x14ac:dyDescent="0.25">
      <c r="A67" s="1">
        <v>95010</v>
      </c>
      <c r="B67" s="2" t="str">
        <f>VLOOKUP(A67,[1]Planilha1!$1:$1048576,2,FALSE)</f>
        <v>Reparação e manutenção de equipamentos de informática e comunicação</v>
      </c>
      <c r="C67" s="6">
        <v>0</v>
      </c>
      <c r="D67" s="6">
        <v>0</v>
      </c>
      <c r="E67" s="6">
        <v>149.64709999999999</v>
      </c>
      <c r="F67" s="6">
        <f>SUM(C67:E67)</f>
        <v>149.64709999999999</v>
      </c>
      <c r="G67" s="12">
        <f>IF(F67=0,"-",E67/F67)</f>
        <v>1</v>
      </c>
    </row>
    <row r="68" spans="1:7" x14ac:dyDescent="0.25">
      <c r="A68" s="1">
        <v>86004</v>
      </c>
      <c r="B68" s="2" t="str">
        <f>VLOOKUP(A68,[1]Planilha1!$1:$1048576,2,FALSE)</f>
        <v>Atividades de profissionais da área de saúde, exceto médicos e odontólogos</v>
      </c>
      <c r="C68" s="6">
        <v>208.21091000000001</v>
      </c>
      <c r="D68" s="6">
        <v>233.72425000000001</v>
      </c>
      <c r="E68" s="6">
        <v>148.38499999999999</v>
      </c>
      <c r="F68" s="6">
        <f>SUM(C68:E68)</f>
        <v>590.32015999999999</v>
      </c>
      <c r="G68" s="12">
        <f>IF(F68=0,"-",E68/F68)</f>
        <v>0.25136359903412414</v>
      </c>
    </row>
    <row r="69" spans="1:7" x14ac:dyDescent="0.25">
      <c r="A69" s="1">
        <v>48090</v>
      </c>
      <c r="B69" s="2" t="str">
        <f>VLOOKUP(A69,[1]Planilha1!$1:$1048576,2,FALSE)</f>
        <v>Lojas de departamento e outros comércios não especializados, sem predominância de produtos alimentícios</v>
      </c>
      <c r="C69" s="6">
        <v>130.27758</v>
      </c>
      <c r="D69" s="6">
        <v>0</v>
      </c>
      <c r="E69" s="6">
        <v>146.22239999999999</v>
      </c>
      <c r="F69" s="6">
        <f>SUM(C69:E69)</f>
        <v>276.49997999999999</v>
      </c>
      <c r="G69" s="12">
        <f>IF(F69=0,"-",E69/F69)</f>
        <v>0.52883331130801525</v>
      </c>
    </row>
    <row r="70" spans="1:7" x14ac:dyDescent="0.25">
      <c r="A70" s="1">
        <v>95030</v>
      </c>
      <c r="B70" s="2" t="str">
        <f>VLOOKUP(A70,[1]Planilha1!$1:$1048576,2,FALSE)</f>
        <v>Reparação e manutenção de objetos e equipamentos pessoais e domésticos</v>
      </c>
      <c r="C70" s="6">
        <v>159.57715999999999</v>
      </c>
      <c r="D70" s="6">
        <v>0</v>
      </c>
      <c r="E70" s="6">
        <v>145.82275000000001</v>
      </c>
      <c r="F70" s="6">
        <f>SUM(C70:E70)</f>
        <v>305.39990999999998</v>
      </c>
      <c r="G70" s="12">
        <f>IF(F70=0,"-",E70/F70)</f>
        <v>0.47748131294472229</v>
      </c>
    </row>
    <row r="71" spans="1:7" x14ac:dyDescent="0.25">
      <c r="A71" s="1">
        <v>38000</v>
      </c>
      <c r="B71" s="2" t="str">
        <f>VLOOKUP(A71,[1]Planilha1!$1:$1048576,2,FALSE)</f>
        <v>Coleta, tratamento e disposição de resíduos; recuperação de materiais</v>
      </c>
      <c r="C71" s="6">
        <v>0</v>
      </c>
      <c r="D71" s="6">
        <v>272.90419000000003</v>
      </c>
      <c r="E71" s="6">
        <v>144.62298999999999</v>
      </c>
      <c r="F71" s="6">
        <f>SUM(C71:E71)</f>
        <v>417.52718000000004</v>
      </c>
      <c r="G71" s="12">
        <f>IF(F71=0,"-",E71/F71)</f>
        <v>0.34637982130887857</v>
      </c>
    </row>
    <row r="72" spans="1:7" x14ac:dyDescent="0.25">
      <c r="A72" s="1">
        <v>11000</v>
      </c>
      <c r="B72" s="2" t="str">
        <f>VLOOKUP(A72,[1]Planilha1!$1:$1048576,2,FALSE)</f>
        <v>Fabricação de bebidas</v>
      </c>
      <c r="C72" s="6">
        <v>0</v>
      </c>
      <c r="D72" s="6">
        <v>0</v>
      </c>
      <c r="E72" s="6">
        <v>132.41460000000001</v>
      </c>
      <c r="F72" s="6">
        <f>SUM(C72:E72)</f>
        <v>132.41460000000001</v>
      </c>
      <c r="G72" s="12">
        <f>IF(F72=0,"-",E72/F72)</f>
        <v>1</v>
      </c>
    </row>
    <row r="73" spans="1:7" x14ac:dyDescent="0.25">
      <c r="A73" s="1">
        <v>65000</v>
      </c>
      <c r="B73" s="2" t="str">
        <f>VLOOKUP(A73,[1]Planilha1!$1:$1048576,2,FALSE)</f>
        <v>Seguros e previdência privada</v>
      </c>
      <c r="C73" s="6">
        <v>71.985849999999999</v>
      </c>
      <c r="D73" s="6">
        <v>0</v>
      </c>
      <c r="E73" s="6">
        <v>119.95062</v>
      </c>
      <c r="F73" s="6">
        <f>SUM(C73:E73)</f>
        <v>191.93646999999999</v>
      </c>
      <c r="G73" s="12">
        <f>IF(F73=0,"-",E73/F73)</f>
        <v>0.62494959920852988</v>
      </c>
    </row>
    <row r="74" spans="1:7" x14ac:dyDescent="0.25">
      <c r="A74" s="1">
        <v>64000</v>
      </c>
      <c r="B74" s="2" t="str">
        <f>VLOOKUP(A74,[1]Planilha1!$1:$1048576,2,FALSE)</f>
        <v>Serviços financeiros</v>
      </c>
      <c r="C74" s="6">
        <v>775.55539999999996</v>
      </c>
      <c r="D74" s="6">
        <v>234.62388999999999</v>
      </c>
      <c r="E74" s="6">
        <v>119.45572</v>
      </c>
      <c r="F74" s="6">
        <f>SUM(C74:E74)</f>
        <v>1129.63501</v>
      </c>
      <c r="G74" s="12">
        <f>IF(F74=0,"-",E74/F74)</f>
        <v>0.10574718288874563</v>
      </c>
    </row>
    <row r="75" spans="1:7" x14ac:dyDescent="0.25">
      <c r="A75" s="1">
        <v>60001</v>
      </c>
      <c r="B75" s="2" t="str">
        <f>VLOOKUP(A75,[1]Planilha1!$1:$1048576,2,FALSE)</f>
        <v>Atividades de rádio</v>
      </c>
      <c r="C75" s="6">
        <v>0</v>
      </c>
      <c r="D75" s="6">
        <v>129.58938000000001</v>
      </c>
      <c r="E75" s="6">
        <v>117.30449</v>
      </c>
      <c r="F75" s="6">
        <f>SUM(C75:E75)</f>
        <v>246.89386999999999</v>
      </c>
      <c r="G75" s="12">
        <f>IF(F75=0,"-",E75/F75)</f>
        <v>0.47512111175542754</v>
      </c>
    </row>
    <row r="76" spans="1:7" x14ac:dyDescent="0.25">
      <c r="A76" s="1">
        <v>84017</v>
      </c>
      <c r="B76" s="2" t="str">
        <f>VLOOKUP(A76,[1]Planilha1!$1:$1048576,2,FALSE)</f>
        <v>Outros serviços coletivos prestados pela administração pública - Municipal</v>
      </c>
      <c r="C76" s="6">
        <v>407.15771999999998</v>
      </c>
      <c r="D76" s="6">
        <v>271.55216000000001</v>
      </c>
      <c r="E76" s="6">
        <v>115.66919</v>
      </c>
      <c r="F76" s="6">
        <f>SUM(C76:E76)</f>
        <v>794.37906999999996</v>
      </c>
      <c r="G76" s="12">
        <f>IF(F76=0,"-",E76/F76)</f>
        <v>0.14560956395792252</v>
      </c>
    </row>
    <row r="77" spans="1:7" x14ac:dyDescent="0.25">
      <c r="A77" s="1">
        <v>1102</v>
      </c>
      <c r="B77" s="2" t="str">
        <f>VLOOKUP(A77,[1]Planilha1!$1:$1048576,2,FALSE)</f>
        <v>Cultivo de milho</v>
      </c>
      <c r="C77" s="6">
        <v>0</v>
      </c>
      <c r="D77" s="6">
        <v>48.895099999999999</v>
      </c>
      <c r="E77" s="6">
        <v>111.77898999999999</v>
      </c>
      <c r="F77" s="6">
        <f>SUM(C77:E77)</f>
        <v>160.67408999999998</v>
      </c>
      <c r="G77" s="12">
        <f>IF(F77=0,"-",E77/F77)</f>
        <v>0.69568771169016741</v>
      </c>
    </row>
    <row r="78" spans="1:7" x14ac:dyDescent="0.25">
      <c r="A78" s="1">
        <v>2000</v>
      </c>
      <c r="B78" s="2" t="str">
        <f>VLOOKUP(A78,[1]Planilha1!$1:$1048576,2,FALSE)</f>
        <v xml:space="preserve">Produção florestal </v>
      </c>
      <c r="C78" s="6">
        <v>0</v>
      </c>
      <c r="D78" s="6">
        <v>0</v>
      </c>
      <c r="E78" s="6">
        <v>101.5924</v>
      </c>
      <c r="F78" s="6">
        <f>SUM(C78:E78)</f>
        <v>101.5924</v>
      </c>
      <c r="G78" s="12">
        <f>IF(F78=0,"-",E78/F78)</f>
        <v>1</v>
      </c>
    </row>
    <row r="79" spans="1:7" x14ac:dyDescent="0.25">
      <c r="A79" s="1">
        <v>33001</v>
      </c>
      <c r="B79" s="2" t="str">
        <f>VLOOKUP(A79,[1]Planilha1!$1:$1048576,2,FALSE)</f>
        <v>Manutenção e reparação de máquinas e equipamentos</v>
      </c>
      <c r="C79" s="6">
        <v>0</v>
      </c>
      <c r="D79" s="6">
        <v>123.74205000000001</v>
      </c>
      <c r="E79" s="6">
        <v>93.197029999999998</v>
      </c>
      <c r="F79" s="6">
        <f>SUM(C79:E79)</f>
        <v>216.93907999999999</v>
      </c>
      <c r="G79" s="12">
        <f>IF(F79=0,"-",E79/F79)</f>
        <v>0.42960000567901369</v>
      </c>
    </row>
    <row r="80" spans="1:7" x14ac:dyDescent="0.25">
      <c r="A80" s="1">
        <v>82009</v>
      </c>
      <c r="B80" s="2" t="str">
        <f>VLOOKUP(A80,[1]Planilha1!$1:$1048576,2,FALSE)</f>
        <v>Outras atividades de serviços prestados principalmente às empresas</v>
      </c>
      <c r="C80" s="6">
        <v>0</v>
      </c>
      <c r="D80" s="6">
        <v>131.52884</v>
      </c>
      <c r="E80" s="6">
        <v>91.612729999999999</v>
      </c>
      <c r="F80" s="6">
        <f>SUM(C80:E80)</f>
        <v>223.14157</v>
      </c>
      <c r="G80" s="12">
        <f>IF(F80=0,"-",E80/F80)</f>
        <v>0.41055877665465917</v>
      </c>
    </row>
    <row r="81" spans="1:7" x14ac:dyDescent="0.25">
      <c r="A81" s="1">
        <v>48041</v>
      </c>
      <c r="B81" s="2" t="str">
        <f>VLOOKUP(A81,[1]Planilha1!$1:$1048576,2,FALSE)</f>
        <v>Comércio de tecidos, artefatos de tecidos e armarinho</v>
      </c>
      <c r="C81" s="6">
        <v>0</v>
      </c>
      <c r="D81" s="6">
        <v>0</v>
      </c>
      <c r="E81" s="6">
        <v>77.920699999999997</v>
      </c>
      <c r="F81" s="6">
        <f>SUM(C81:E81)</f>
        <v>77.920699999999997</v>
      </c>
      <c r="G81" s="12">
        <f>IF(F81=0,"-",E81/F81)</f>
        <v>1</v>
      </c>
    </row>
    <row r="82" spans="1:7" x14ac:dyDescent="0.25">
      <c r="A82" s="1">
        <v>23091</v>
      </c>
      <c r="B82" s="2" t="str">
        <f>VLOOKUP(A82,[1]Planilha1!$1:$1048576,2,FALSE)</f>
        <v>Fabricação de produtos cerâmicos</v>
      </c>
      <c r="C82" s="6">
        <v>0</v>
      </c>
      <c r="D82" s="6">
        <v>0</v>
      </c>
      <c r="E82" s="6">
        <v>77.17577</v>
      </c>
      <c r="F82" s="6">
        <f>SUM(C82:E82)</f>
        <v>77.17577</v>
      </c>
      <c r="G82" s="12">
        <f>IF(F82=0,"-",E82/F82)</f>
        <v>1</v>
      </c>
    </row>
    <row r="83" spans="1:7" x14ac:dyDescent="0.25">
      <c r="A83" s="1">
        <v>84011</v>
      </c>
      <c r="B83" s="2" t="str">
        <f>VLOOKUP(A83,[1]Planilha1!$1:$1048576,2,FALSE)</f>
        <v>Administração publica e regulação da política econômica e social - Federal</v>
      </c>
      <c r="C83" s="6">
        <v>691.24531999999999</v>
      </c>
      <c r="D83" s="6">
        <v>1187.02638</v>
      </c>
      <c r="E83" s="6">
        <v>70.203569999999999</v>
      </c>
      <c r="F83" s="6">
        <f>SUM(C83:E83)</f>
        <v>1948.4752699999999</v>
      </c>
      <c r="G83" s="12">
        <f>IF(F83=0,"-",E83/F83)</f>
        <v>3.6030003090570403E-2</v>
      </c>
    </row>
    <row r="84" spans="1:7" x14ac:dyDescent="0.25">
      <c r="A84" s="1">
        <v>1202</v>
      </c>
      <c r="B84" s="2" t="str">
        <f>VLOOKUP(A84,[1]Planilha1!$1:$1048576,2,FALSE)</f>
        <v>Criação de outros animais de grande porte não especificados anteriormente</v>
      </c>
      <c r="C84" s="6">
        <v>0</v>
      </c>
      <c r="D84" s="6">
        <v>0</v>
      </c>
      <c r="E84" s="6">
        <v>59.475050000000003</v>
      </c>
      <c r="F84" s="6">
        <f>SUM(C84:E84)</f>
        <v>59.475050000000003</v>
      </c>
      <c r="G84" s="12">
        <f>IF(F84=0,"-",E84/F84)</f>
        <v>1</v>
      </c>
    </row>
    <row r="85" spans="1:7" x14ac:dyDescent="0.25">
      <c r="A85" s="1">
        <v>48076</v>
      </c>
      <c r="B85" s="2" t="str">
        <f>VLOOKUP(A85,[1]Planilha1!$1:$1048576,2,FALSE)</f>
        <v>Comércio de combustíveis sólidos, líquidos e gasosos, exceto para veículos automotores</v>
      </c>
      <c r="C85" s="6">
        <v>0</v>
      </c>
      <c r="D85" s="6">
        <v>0</v>
      </c>
      <c r="E85" s="6">
        <v>57.225499999999997</v>
      </c>
      <c r="F85" s="6">
        <f>SUM(C85:E85)</f>
        <v>57.225499999999997</v>
      </c>
      <c r="G85" s="12">
        <f>IF(F85=0,"-",E85/F85)</f>
        <v>1</v>
      </c>
    </row>
    <row r="86" spans="1:7" x14ac:dyDescent="0.25">
      <c r="A86" s="1">
        <v>3002</v>
      </c>
      <c r="B86" s="2" t="str">
        <f>VLOOKUP(A86,[1]Planilha1!$1:$1048576,2,FALSE)</f>
        <v>Aqüicultura</v>
      </c>
      <c r="C86" s="6">
        <v>0</v>
      </c>
      <c r="D86" s="6">
        <v>0</v>
      </c>
      <c r="E86" s="6">
        <v>25.317119999999999</v>
      </c>
      <c r="F86" s="6">
        <f>SUM(C86:E86)</f>
        <v>25.317119999999999</v>
      </c>
      <c r="G86" s="12">
        <f>IF(F86=0,"-",E86/F86)</f>
        <v>1</v>
      </c>
    </row>
    <row r="87" spans="1:7" x14ac:dyDescent="0.25">
      <c r="A87" s="1">
        <v>1108</v>
      </c>
      <c r="B87" s="2" t="str">
        <f>VLOOKUP(A87,[1]Planilha1!$1:$1048576,2,FALSE)</f>
        <v>Cultivo de mandioca</v>
      </c>
      <c r="C87" s="6">
        <v>0</v>
      </c>
      <c r="D87" s="6">
        <v>0</v>
      </c>
      <c r="E87" s="6">
        <v>0</v>
      </c>
      <c r="F87" s="6">
        <f>SUM(C87:E87)</f>
        <v>0</v>
      </c>
      <c r="G87" s="12" t="str">
        <f>IF(F87=0,"-",E87/F87)</f>
        <v>-</v>
      </c>
    </row>
    <row r="88" spans="1:7" x14ac:dyDescent="0.25">
      <c r="A88" s="1">
        <v>1109</v>
      </c>
      <c r="B88" s="2" t="str">
        <f>VLOOKUP(A88,[1]Planilha1!$1:$1048576,2,FALSE)</f>
        <v>Cultivo de outras lavouras temporárias não especificadas anteriormente</v>
      </c>
      <c r="C88" s="6">
        <v>0</v>
      </c>
      <c r="D88" s="6">
        <v>0</v>
      </c>
      <c r="E88" s="6">
        <v>0</v>
      </c>
      <c r="F88" s="6">
        <f>SUM(C88:E88)</f>
        <v>0</v>
      </c>
      <c r="G88" s="12" t="str">
        <f>IF(F88=0,"-",E88/F88)</f>
        <v>-</v>
      </c>
    </row>
    <row r="89" spans="1:7" x14ac:dyDescent="0.25">
      <c r="A89" s="1">
        <v>1110</v>
      </c>
      <c r="B89" s="2" t="str">
        <f>VLOOKUP(A89,[1]Planilha1!$1:$1048576,2,FALSE)</f>
        <v>Horticultura</v>
      </c>
      <c r="C89" s="6">
        <v>0</v>
      </c>
      <c r="D89" s="6">
        <v>0</v>
      </c>
      <c r="E89" s="6">
        <v>0</v>
      </c>
      <c r="F89" s="6">
        <f>SUM(C89:E89)</f>
        <v>0</v>
      </c>
      <c r="G89" s="12" t="str">
        <f>IF(F89=0,"-",E89/F89)</f>
        <v>-</v>
      </c>
    </row>
    <row r="90" spans="1:7" x14ac:dyDescent="0.25">
      <c r="A90" s="1">
        <v>1112</v>
      </c>
      <c r="B90" s="2" t="str">
        <f>VLOOKUP(A90,[1]Planilha1!$1:$1048576,2,FALSE)</f>
        <v>Cultivo de frutas cítricas</v>
      </c>
      <c r="C90" s="6">
        <v>0</v>
      </c>
      <c r="D90" s="6">
        <v>0</v>
      </c>
      <c r="E90" s="6">
        <v>0</v>
      </c>
      <c r="F90" s="6">
        <f>SUM(C90:E90)</f>
        <v>0</v>
      </c>
      <c r="G90" s="12" t="str">
        <f>IF(F90=0,"-",E90/F90)</f>
        <v>-</v>
      </c>
    </row>
    <row r="91" spans="1:7" x14ac:dyDescent="0.25">
      <c r="A91" s="1">
        <v>1114</v>
      </c>
      <c r="B91" s="2" t="str">
        <f>VLOOKUP(A91,[1]Planilha1!$1:$1048576,2,FALSE)</f>
        <v>Cultivo de cacau</v>
      </c>
      <c r="C91" s="6">
        <v>0</v>
      </c>
      <c r="D91" s="6">
        <v>0</v>
      </c>
      <c r="E91" s="6">
        <v>0</v>
      </c>
      <c r="F91" s="6">
        <f>SUM(C91:E91)</f>
        <v>0</v>
      </c>
      <c r="G91" s="12" t="str">
        <f>IF(F91=0,"-",E91/F91)</f>
        <v>-</v>
      </c>
    </row>
    <row r="92" spans="1:7" x14ac:dyDescent="0.25">
      <c r="A92" s="1">
        <v>1116</v>
      </c>
      <c r="B92" s="2" t="str">
        <f>VLOOKUP(A92,[1]Planilha1!$1:$1048576,2,FALSE)</f>
        <v>Cultivo de banana</v>
      </c>
      <c r="C92" s="6">
        <v>0</v>
      </c>
      <c r="D92" s="6">
        <v>50.088259999999998</v>
      </c>
      <c r="E92" s="6">
        <v>0</v>
      </c>
      <c r="F92" s="6">
        <f>SUM(C92:E92)</f>
        <v>50.088259999999998</v>
      </c>
      <c r="G92" s="12">
        <f>IF(F92=0,"-",E92/F92)</f>
        <v>0</v>
      </c>
    </row>
    <row r="93" spans="1:7" x14ac:dyDescent="0.25">
      <c r="A93" s="1">
        <v>1204</v>
      </c>
      <c r="B93" s="2" t="str">
        <f>VLOOKUP(A93,[1]Planilha1!$1:$1048576,2,FALSE)</f>
        <v>Criação de suínos</v>
      </c>
      <c r="C93" s="6">
        <v>0</v>
      </c>
      <c r="D93" s="6">
        <v>0</v>
      </c>
      <c r="E93" s="6">
        <v>0</v>
      </c>
      <c r="F93" s="6">
        <f>SUM(C93:E93)</f>
        <v>0</v>
      </c>
      <c r="G93" s="12" t="str">
        <f>IF(F93=0,"-",E93/F93)</f>
        <v>-</v>
      </c>
    </row>
    <row r="94" spans="1:7" x14ac:dyDescent="0.25">
      <c r="A94" s="1">
        <v>1401</v>
      </c>
      <c r="B94" s="2" t="str">
        <f>VLOOKUP(A94,[1]Planilha1!$1:$1048576,2,FALSE)</f>
        <v>Atividades de apoio à agricultura e pós-colheita</v>
      </c>
      <c r="C94" s="6">
        <v>0</v>
      </c>
      <c r="D94" s="6">
        <v>146.06994</v>
      </c>
      <c r="E94" s="6">
        <v>0</v>
      </c>
      <c r="F94" s="6">
        <f>SUM(C94:E94)</f>
        <v>146.06994</v>
      </c>
      <c r="G94" s="12">
        <f>IF(F94=0,"-",E94/F94)</f>
        <v>0</v>
      </c>
    </row>
    <row r="95" spans="1:7" x14ac:dyDescent="0.25">
      <c r="A95" s="1">
        <v>1402</v>
      </c>
      <c r="B95" s="2" t="str">
        <f>VLOOKUP(A95,[1]Planilha1!$1:$1048576,2,FALSE)</f>
        <v xml:space="preserve">Atividades de apoio à pecuária </v>
      </c>
      <c r="C95" s="6">
        <v>0</v>
      </c>
      <c r="D95" s="6">
        <v>0</v>
      </c>
      <c r="E95" s="6">
        <v>0</v>
      </c>
      <c r="F95" s="6">
        <f>SUM(C95:E95)</f>
        <v>0</v>
      </c>
      <c r="G95" s="12" t="str">
        <f>IF(F95=0,"-",E95/F95)</f>
        <v>-</v>
      </c>
    </row>
    <row r="96" spans="1:7" x14ac:dyDescent="0.25">
      <c r="A96" s="1">
        <v>3001</v>
      </c>
      <c r="B96" s="2" t="str">
        <f>VLOOKUP(A96,[1]Planilha1!$1:$1048576,2,FALSE)</f>
        <v>Pesca</v>
      </c>
      <c r="C96" s="6">
        <v>0</v>
      </c>
      <c r="D96" s="6">
        <v>0</v>
      </c>
      <c r="E96" s="6">
        <v>0</v>
      </c>
      <c r="F96" s="6">
        <f>SUM(C96:E96)</f>
        <v>0</v>
      </c>
      <c r="G96" s="12" t="str">
        <f>IF(F96=0,"-",E96/F96)</f>
        <v>-</v>
      </c>
    </row>
    <row r="97" spans="1:7" x14ac:dyDescent="0.25">
      <c r="A97" s="1">
        <v>7001</v>
      </c>
      <c r="B97" s="2" t="str">
        <f>VLOOKUP(A97,[1]Planilha1!$1:$1048576,2,FALSE)</f>
        <v>Extração de minérios de metais preciosos</v>
      </c>
      <c r="C97" s="6">
        <v>0</v>
      </c>
      <c r="D97" s="6">
        <v>0</v>
      </c>
      <c r="E97" s="6">
        <v>0</v>
      </c>
      <c r="F97" s="6">
        <f>SUM(C97:E97)</f>
        <v>0</v>
      </c>
      <c r="G97" s="12" t="str">
        <f>IF(F97=0,"-",E97/F97)</f>
        <v>-</v>
      </c>
    </row>
    <row r="98" spans="1:7" x14ac:dyDescent="0.25">
      <c r="A98" s="1">
        <v>10030</v>
      </c>
      <c r="B98" s="2" t="str">
        <f>VLOOKUP(A98,[1]Planilha1!$1:$1048576,2,FALSE)</f>
        <v>Laticínios</v>
      </c>
      <c r="C98" s="6">
        <v>0</v>
      </c>
      <c r="D98" s="6">
        <v>0</v>
      </c>
      <c r="E98" s="6">
        <v>0</v>
      </c>
      <c r="F98" s="6">
        <f>SUM(C98:E98)</f>
        <v>0</v>
      </c>
      <c r="G98" s="12" t="str">
        <f>IF(F98=0,"-",E98/F98)</f>
        <v>-</v>
      </c>
    </row>
    <row r="99" spans="1:7" x14ac:dyDescent="0.25">
      <c r="A99" s="1">
        <v>10091</v>
      </c>
      <c r="B99" s="2" t="str">
        <f>VLOOKUP(A99,[1]Planilha1!$1:$1048576,2,FALSE)</f>
        <v>Moagem, fabricação de produtos amiláceos e de alimentos para animais</v>
      </c>
      <c r="C99" s="6">
        <v>0</v>
      </c>
      <c r="D99" s="6">
        <v>0</v>
      </c>
      <c r="E99" s="6">
        <v>0</v>
      </c>
      <c r="F99" s="6">
        <f>SUM(C99:E99)</f>
        <v>0</v>
      </c>
      <c r="G99" s="12" t="str">
        <f>IF(F99=0,"-",E99/F99)</f>
        <v>-</v>
      </c>
    </row>
    <row r="100" spans="1:7" x14ac:dyDescent="0.25">
      <c r="A100" s="1">
        <v>10099</v>
      </c>
      <c r="B100" s="2" t="str">
        <f>VLOOKUP(A100,[1]Planilha1!$1:$1048576,2,FALSE)</f>
        <v>Fabricação de outros produtos alimentícios</v>
      </c>
      <c r="C100" s="6">
        <v>65.844459999999998</v>
      </c>
      <c r="D100" s="6">
        <v>508.90264999999999</v>
      </c>
      <c r="E100" s="6">
        <v>0</v>
      </c>
      <c r="F100" s="6">
        <f>SUM(C100:E100)</f>
        <v>574.74711000000002</v>
      </c>
      <c r="G100" s="12">
        <f>IF(F100=0,"-",E100/F100)</f>
        <v>0</v>
      </c>
    </row>
    <row r="101" spans="1:7" x14ac:dyDescent="0.25">
      <c r="A101" s="1">
        <v>13001</v>
      </c>
      <c r="B101" s="2" t="str">
        <f>VLOOKUP(A101,[1]Planilha1!$1:$1048576,2,FALSE)</f>
        <v>Preparação de fibras, fiação e tecelagem</v>
      </c>
      <c r="C101" s="6">
        <v>0</v>
      </c>
      <c r="D101" s="6">
        <v>0</v>
      </c>
      <c r="E101" s="6">
        <v>0</v>
      </c>
      <c r="F101" s="6">
        <f>SUM(C101:E101)</f>
        <v>0</v>
      </c>
      <c r="G101" s="12" t="str">
        <f>IF(F101=0,"-",E101/F101)</f>
        <v>-</v>
      </c>
    </row>
    <row r="102" spans="1:7" x14ac:dyDescent="0.25">
      <c r="A102" s="1">
        <v>13002</v>
      </c>
      <c r="B102" s="2" t="str">
        <f>VLOOKUP(A102,[1]Planilha1!$1:$1048576,2,FALSE)</f>
        <v>Fabricação de artefatos têxteis, exceto vestuário</v>
      </c>
      <c r="C102" s="6">
        <v>0</v>
      </c>
      <c r="D102" s="6">
        <v>0</v>
      </c>
      <c r="E102" s="6">
        <v>0</v>
      </c>
      <c r="F102" s="6">
        <f>SUM(C102:E102)</f>
        <v>0</v>
      </c>
      <c r="G102" s="12" t="str">
        <f>IF(F102=0,"-",E102/F102)</f>
        <v>-</v>
      </c>
    </row>
    <row r="103" spans="1:7" x14ac:dyDescent="0.25">
      <c r="A103" s="1">
        <v>14001</v>
      </c>
      <c r="B103" s="2" t="str">
        <f>VLOOKUP(A103,[1]Planilha1!$1:$1048576,2,FALSE)</f>
        <v>Confecção de artigos do vestuário e acessórios, exceto sob medida</v>
      </c>
      <c r="C103" s="6">
        <v>0</v>
      </c>
      <c r="D103" s="6">
        <v>307.43585999999999</v>
      </c>
      <c r="E103" s="6">
        <v>0</v>
      </c>
      <c r="F103" s="6">
        <f>SUM(C103:E103)</f>
        <v>307.43585999999999</v>
      </c>
      <c r="G103" s="12">
        <f>IF(F103=0,"-",E103/F103)</f>
        <v>0</v>
      </c>
    </row>
    <row r="104" spans="1:7" x14ac:dyDescent="0.25">
      <c r="A104" s="1">
        <v>14002</v>
      </c>
      <c r="B104" s="2" t="str">
        <f>VLOOKUP(A104,[1]Planilha1!$1:$1048576,2,FALSE)</f>
        <v>Confecção, sob medida, de artigos do vestuário</v>
      </c>
      <c r="C104" s="6">
        <v>0</v>
      </c>
      <c r="D104" s="6">
        <v>0</v>
      </c>
      <c r="E104" s="6">
        <v>0</v>
      </c>
      <c r="F104" s="6">
        <f>SUM(C104:E104)</f>
        <v>0</v>
      </c>
      <c r="G104" s="12" t="str">
        <f>IF(F104=0,"-",E104/F104)</f>
        <v>-</v>
      </c>
    </row>
    <row r="105" spans="1:7" x14ac:dyDescent="0.25">
      <c r="A105" s="1">
        <v>16001</v>
      </c>
      <c r="B105" s="2" t="str">
        <f>VLOOKUP(A105,[1]Planilha1!$1:$1048576,2,FALSE)</f>
        <v>Serrarias</v>
      </c>
      <c r="C105" s="6">
        <v>0</v>
      </c>
      <c r="D105" s="6">
        <v>111.21602</v>
      </c>
      <c r="E105" s="6">
        <v>0</v>
      </c>
      <c r="F105" s="6">
        <f>SUM(C105:E105)</f>
        <v>111.21602</v>
      </c>
      <c r="G105" s="12">
        <f>IF(F105=0,"-",E105/F105)</f>
        <v>0</v>
      </c>
    </row>
    <row r="106" spans="1:7" x14ac:dyDescent="0.25">
      <c r="A106" s="1">
        <v>16002</v>
      </c>
      <c r="B106" s="2" t="str">
        <f>VLOOKUP(A106,[1]Planilha1!$1:$1048576,2,FALSE)</f>
        <v>Fabricação de produtos de madeira, cortiça e material trançado, exceto móveis</v>
      </c>
      <c r="C106" s="6">
        <v>0</v>
      </c>
      <c r="D106" s="6">
        <v>0</v>
      </c>
      <c r="E106" s="6">
        <v>0</v>
      </c>
      <c r="F106" s="6">
        <f>SUM(C106:E106)</f>
        <v>0</v>
      </c>
      <c r="G106" s="12" t="str">
        <f>IF(F106=0,"-",E106/F106)</f>
        <v>-</v>
      </c>
    </row>
    <row r="107" spans="1:7" x14ac:dyDescent="0.25">
      <c r="A107" s="1">
        <v>17002</v>
      </c>
      <c r="B107" s="2" t="str">
        <f>VLOOKUP(A107,[1]Planilha1!$1:$1048576,2,FALSE)</f>
        <v>Fabricação de embalagens e de produtos diversos de papel, cartolina, papel-cartão e papelão ondulado</v>
      </c>
      <c r="C107" s="6">
        <v>90.403459999999995</v>
      </c>
      <c r="D107" s="6">
        <v>0</v>
      </c>
      <c r="E107" s="6">
        <v>0</v>
      </c>
      <c r="F107" s="6">
        <f>SUM(C107:E107)</f>
        <v>90.403459999999995</v>
      </c>
      <c r="G107" s="12">
        <f>IF(F107=0,"-",E107/F107)</f>
        <v>0</v>
      </c>
    </row>
    <row r="108" spans="1:7" x14ac:dyDescent="0.25">
      <c r="A108" s="1">
        <v>22020</v>
      </c>
      <c r="B108" s="2" t="str">
        <f>VLOOKUP(A108,[1]Planilha1!$1:$1048576,2,FALSE)</f>
        <v>Fabricação de produtos de material plástico</v>
      </c>
      <c r="C108" s="6">
        <v>0</v>
      </c>
      <c r="D108" s="6">
        <v>0</v>
      </c>
      <c r="E108" s="6">
        <v>0</v>
      </c>
      <c r="F108" s="6">
        <f>SUM(C108:E108)</f>
        <v>0</v>
      </c>
      <c r="G108" s="12" t="str">
        <f>IF(F108=0,"-",E108/F108)</f>
        <v>-</v>
      </c>
    </row>
    <row r="109" spans="1:7" x14ac:dyDescent="0.25">
      <c r="A109" s="1">
        <v>25002</v>
      </c>
      <c r="B109" s="2" t="str">
        <f>VLOOKUP(A109,[1]Planilha1!$1:$1048576,2,FALSE)</f>
        <v>Forjaria, estamparia, metalurgia do pó e serviços de tratamento de metais</v>
      </c>
      <c r="C109" s="6">
        <v>0</v>
      </c>
      <c r="D109" s="6">
        <v>0</v>
      </c>
      <c r="E109" s="6">
        <v>0</v>
      </c>
      <c r="F109" s="6">
        <f>SUM(C109:E109)</f>
        <v>0</v>
      </c>
      <c r="G109" s="12" t="str">
        <f>IF(F109=0,"-",E109/F109)</f>
        <v>-</v>
      </c>
    </row>
    <row r="110" spans="1:7" x14ac:dyDescent="0.25">
      <c r="A110" s="1">
        <v>26010</v>
      </c>
      <c r="B110" s="2" t="str">
        <f>VLOOKUP(A110,[1]Planilha1!$1:$1048576,2,FALSE)</f>
        <v>Fabricação de componentes eletrônicos</v>
      </c>
      <c r="C110" s="6">
        <v>166.98185000000001</v>
      </c>
      <c r="D110" s="6">
        <v>0</v>
      </c>
      <c r="E110" s="6">
        <v>0</v>
      </c>
      <c r="F110" s="6">
        <f>SUM(C110:E110)</f>
        <v>166.98185000000001</v>
      </c>
      <c r="G110" s="12">
        <f>IF(F110=0,"-",E110/F110)</f>
        <v>0</v>
      </c>
    </row>
    <row r="111" spans="1:7" x14ac:dyDescent="0.25">
      <c r="A111" s="1">
        <v>32001</v>
      </c>
      <c r="B111" s="2" t="str">
        <f>VLOOKUP(A111,[1]Planilha1!$1:$1048576,2,FALSE)</f>
        <v>Fabricação de artigos de joalheria, bijuteria e semelhantes</v>
      </c>
      <c r="C111" s="6">
        <v>0</v>
      </c>
      <c r="D111" s="6">
        <v>0</v>
      </c>
      <c r="E111" s="6">
        <v>0</v>
      </c>
      <c r="F111" s="6">
        <f>SUM(C111:E111)</f>
        <v>0</v>
      </c>
      <c r="G111" s="12" t="str">
        <f>IF(F111=0,"-",E111/F111)</f>
        <v>-</v>
      </c>
    </row>
    <row r="112" spans="1:7" x14ac:dyDescent="0.25">
      <c r="A112" s="1">
        <v>32009</v>
      </c>
      <c r="B112" s="2" t="str">
        <f>VLOOKUP(A112,[1]Planilha1!$1:$1048576,2,FALSE)</f>
        <v>Fabricação de produtos diversos</v>
      </c>
      <c r="C112" s="6">
        <v>172.61679000000001</v>
      </c>
      <c r="D112" s="6">
        <v>0</v>
      </c>
      <c r="E112" s="6">
        <v>0</v>
      </c>
      <c r="F112" s="6">
        <f>SUM(C112:E112)</f>
        <v>172.61679000000001</v>
      </c>
      <c r="G112" s="12">
        <f>IF(F112=0,"-",E112/F112)</f>
        <v>0</v>
      </c>
    </row>
    <row r="113" spans="1:7" x14ac:dyDescent="0.25">
      <c r="A113" s="1">
        <v>33002</v>
      </c>
      <c r="B113" s="2" t="str">
        <f>VLOOKUP(A113,[1]Planilha1!$1:$1048576,2,FALSE)</f>
        <v>Instalação de máquinas e equipamentos</v>
      </c>
      <c r="C113" s="6">
        <v>0</v>
      </c>
      <c r="D113" s="6">
        <v>0</v>
      </c>
      <c r="E113" s="6">
        <v>0</v>
      </c>
      <c r="F113" s="6">
        <f>SUM(C113:E113)</f>
        <v>0</v>
      </c>
      <c r="G113" s="12" t="str">
        <f>IF(F113=0,"-",E113/F113)</f>
        <v>-</v>
      </c>
    </row>
    <row r="114" spans="1:7" x14ac:dyDescent="0.25">
      <c r="A114" s="1">
        <v>36000</v>
      </c>
      <c r="B114" s="2" t="str">
        <f>VLOOKUP(A114,[1]Planilha1!$1:$1048576,2,FALSE)</f>
        <v>Captação, tratamento e distribuição de água</v>
      </c>
      <c r="C114" s="6">
        <v>561.52724000000001</v>
      </c>
      <c r="D114" s="6">
        <v>563.24828000000002</v>
      </c>
      <c r="E114" s="6">
        <v>0</v>
      </c>
      <c r="F114" s="6">
        <f>SUM(C114:E114)</f>
        <v>1124.7755200000001</v>
      </c>
      <c r="G114" s="12">
        <f>IF(F114=0,"-",E114/F114)</f>
        <v>0</v>
      </c>
    </row>
    <row r="115" spans="1:7" x14ac:dyDescent="0.25">
      <c r="A115" s="1">
        <v>48100</v>
      </c>
      <c r="B115" s="2" t="str">
        <f>VLOOKUP(A115,[1]Planilha1!$1:$1048576,2,FALSE)</f>
        <v>Comércio ambulante e feiras</v>
      </c>
      <c r="C115" s="6">
        <v>0</v>
      </c>
      <c r="D115" s="6">
        <v>281.99961000000002</v>
      </c>
      <c r="E115" s="6">
        <v>0</v>
      </c>
      <c r="F115" s="6">
        <f>SUM(C115:E115)</f>
        <v>281.99961000000002</v>
      </c>
      <c r="G115" s="12">
        <f>IF(F115=0,"-",E115/F115)</f>
        <v>0</v>
      </c>
    </row>
    <row r="116" spans="1:7" x14ac:dyDescent="0.25">
      <c r="A116" s="1">
        <v>52010</v>
      </c>
      <c r="B116" s="2" t="str">
        <f>VLOOKUP(A116,[1]Planilha1!$1:$1048576,2,FALSE)</f>
        <v>Armazenamento, carga e descarga</v>
      </c>
      <c r="C116" s="6">
        <v>0</v>
      </c>
      <c r="D116" s="6">
        <v>0</v>
      </c>
      <c r="E116" s="6">
        <v>0</v>
      </c>
      <c r="F116" s="6">
        <f>SUM(C116:E116)</f>
        <v>0</v>
      </c>
      <c r="G116" s="12" t="str">
        <f>IF(F116=0,"-",E116/F116)</f>
        <v>-</v>
      </c>
    </row>
    <row r="117" spans="1:7" x14ac:dyDescent="0.25">
      <c r="A117" s="1">
        <v>52020</v>
      </c>
      <c r="B117" s="2" t="str">
        <f>VLOOKUP(A117,[1]Planilha1!$1:$1048576,2,FALSE)</f>
        <v xml:space="preserve">Atividades auxiliares dos transportes e atividades relacionadas à organização do transporte de carga </v>
      </c>
      <c r="C117" s="6">
        <v>0</v>
      </c>
      <c r="D117" s="6">
        <v>107.80016999999999</v>
      </c>
      <c r="E117" s="6">
        <v>0</v>
      </c>
      <c r="F117" s="6">
        <f>SUM(C117:E117)</f>
        <v>107.80016999999999</v>
      </c>
      <c r="G117" s="12">
        <f>IF(F117=0,"-",E117/F117)</f>
        <v>0</v>
      </c>
    </row>
    <row r="118" spans="1:7" x14ac:dyDescent="0.25">
      <c r="A118" s="1">
        <v>53001</v>
      </c>
      <c r="B118" s="2" t="str">
        <f>VLOOKUP(A118,[1]Planilha1!$1:$1048576,2,FALSE)</f>
        <v>Atividades de Correio</v>
      </c>
      <c r="C118" s="6">
        <v>0</v>
      </c>
      <c r="D118" s="6">
        <v>28.039020000000001</v>
      </c>
      <c r="E118" s="6">
        <v>0</v>
      </c>
      <c r="F118" s="6">
        <f>SUM(C118:E118)</f>
        <v>28.039020000000001</v>
      </c>
      <c r="G118" s="12">
        <f>IF(F118=0,"-",E118/F118)</f>
        <v>0</v>
      </c>
    </row>
    <row r="119" spans="1:7" x14ac:dyDescent="0.25">
      <c r="A119" s="1">
        <v>53002</v>
      </c>
      <c r="B119" s="2" t="str">
        <f>VLOOKUP(A119,[1]Planilha1!$1:$1048576,2,FALSE)</f>
        <v>Atividades de malote e de entrega</v>
      </c>
      <c r="C119" s="6">
        <v>0</v>
      </c>
      <c r="D119" s="6">
        <v>0</v>
      </c>
      <c r="E119" s="6">
        <v>0</v>
      </c>
      <c r="F119" s="6">
        <f>SUM(C119:E119)</f>
        <v>0</v>
      </c>
      <c r="G119" s="12" t="str">
        <f>IF(F119=0,"-",E119/F119)</f>
        <v>-</v>
      </c>
    </row>
    <row r="120" spans="1:7" x14ac:dyDescent="0.25">
      <c r="A120" s="1">
        <v>56020</v>
      </c>
      <c r="B120" s="2" t="str">
        <f>VLOOKUP(A120,[1]Planilha1!$1:$1048576,2,FALSE)</f>
        <v>Serviços ambulantes de alimentação</v>
      </c>
      <c r="C120" s="6">
        <v>270.99511000000001</v>
      </c>
      <c r="D120" s="6">
        <v>0</v>
      </c>
      <c r="E120" s="6">
        <v>0</v>
      </c>
      <c r="F120" s="6">
        <f>SUM(C120:E120)</f>
        <v>270.99511000000001</v>
      </c>
      <c r="G120" s="12">
        <f>IF(F120=0,"-",E120/F120)</f>
        <v>0</v>
      </c>
    </row>
    <row r="121" spans="1:7" x14ac:dyDescent="0.25">
      <c r="A121" s="1">
        <v>58000</v>
      </c>
      <c r="B121" s="2" t="str">
        <f>VLOOKUP(A121,[1]Planilha1!$1:$1048576,2,FALSE)</f>
        <v xml:space="preserve">Edição e Edição integrada à impressão </v>
      </c>
      <c r="C121" s="6">
        <v>0</v>
      </c>
      <c r="D121" s="6">
        <v>257.47397999999998</v>
      </c>
      <c r="E121" s="6">
        <v>0</v>
      </c>
      <c r="F121" s="6">
        <f>SUM(C121:E121)</f>
        <v>257.47397999999998</v>
      </c>
      <c r="G121" s="12">
        <f>IF(F121=0,"-",E121/F121)</f>
        <v>0</v>
      </c>
    </row>
    <row r="122" spans="1:7" x14ac:dyDescent="0.25">
      <c r="A122" s="1">
        <v>60002</v>
      </c>
      <c r="B122" s="2" t="str">
        <f>VLOOKUP(A122,[1]Planilha1!$1:$1048576,2,FALSE)</f>
        <v>Atividades de televisão</v>
      </c>
      <c r="C122" s="6">
        <v>0</v>
      </c>
      <c r="D122" s="6">
        <v>0</v>
      </c>
      <c r="E122" s="6">
        <v>0</v>
      </c>
      <c r="F122" s="6">
        <f>SUM(C122:E122)</f>
        <v>0</v>
      </c>
      <c r="G122" s="12" t="str">
        <f>IF(F122=0,"-",E122/F122)</f>
        <v>-</v>
      </c>
    </row>
    <row r="123" spans="1:7" x14ac:dyDescent="0.25">
      <c r="A123" s="1">
        <v>61000</v>
      </c>
      <c r="B123" s="2" t="str">
        <f>VLOOKUP(A123,[1]Planilha1!$1:$1048576,2,FALSE)</f>
        <v>Telecomunicações</v>
      </c>
      <c r="C123" s="6">
        <v>250.32247000000001</v>
      </c>
      <c r="D123" s="6">
        <v>0</v>
      </c>
      <c r="E123" s="6">
        <v>0</v>
      </c>
      <c r="F123" s="6">
        <f>SUM(C123:E123)</f>
        <v>250.32247000000001</v>
      </c>
      <c r="G123" s="12">
        <f>IF(F123=0,"-",E123/F123)</f>
        <v>0</v>
      </c>
    </row>
    <row r="124" spans="1:7" x14ac:dyDescent="0.25">
      <c r="A124" s="1">
        <v>63000</v>
      </c>
      <c r="B124" s="2" t="str">
        <f>VLOOKUP(A124,[1]Planilha1!$1:$1048576,2,FALSE)</f>
        <v>Atividades de prestação de serviços de informação</v>
      </c>
      <c r="C124" s="6">
        <v>197.33839</v>
      </c>
      <c r="D124" s="6">
        <v>0</v>
      </c>
      <c r="E124" s="6">
        <v>0</v>
      </c>
      <c r="F124" s="6">
        <f>SUM(C124:E124)</f>
        <v>197.33839</v>
      </c>
      <c r="G124" s="12">
        <f>IF(F124=0,"-",E124/F124)</f>
        <v>0</v>
      </c>
    </row>
    <row r="125" spans="1:7" x14ac:dyDescent="0.25">
      <c r="A125" s="1">
        <v>66002</v>
      </c>
      <c r="B125" s="2" t="str">
        <f>VLOOKUP(A125,[1]Planilha1!$1:$1048576,2,FALSE)</f>
        <v>Atividades auxiliares dos seguros, da previdência complementar e dos planos de saúde</v>
      </c>
      <c r="C125" s="6">
        <v>58.539859999999997</v>
      </c>
      <c r="D125" s="6">
        <v>0</v>
      </c>
      <c r="E125" s="6">
        <v>0</v>
      </c>
      <c r="F125" s="6">
        <f>SUM(C125:E125)</f>
        <v>58.539859999999997</v>
      </c>
      <c r="G125" s="12">
        <f>IF(F125=0,"-",E125/F125)</f>
        <v>0</v>
      </c>
    </row>
    <row r="126" spans="1:7" x14ac:dyDescent="0.25">
      <c r="A126" s="1">
        <v>70000</v>
      </c>
      <c r="B126" s="2" t="str">
        <f>VLOOKUP(A126,[1]Planilha1!$1:$1048576,2,FALSE)</f>
        <v>Atividades de consultoria em gestão empresarial</v>
      </c>
      <c r="C126" s="6">
        <v>0</v>
      </c>
      <c r="D126" s="6">
        <v>0</v>
      </c>
      <c r="E126" s="6">
        <v>0</v>
      </c>
      <c r="F126" s="6">
        <f>SUM(C126:E126)</f>
        <v>0</v>
      </c>
      <c r="G126" s="12" t="str">
        <f>IF(F126=0,"-",E126/F126)</f>
        <v>-</v>
      </c>
    </row>
    <row r="127" spans="1:7" x14ac:dyDescent="0.25">
      <c r="A127" s="1">
        <v>72000</v>
      </c>
      <c r="B127" s="2" t="str">
        <f>VLOOKUP(A127,[1]Planilha1!$1:$1048576,2,FALSE)</f>
        <v>Pesquisa e desenvolvimento científico</v>
      </c>
      <c r="C127" s="6">
        <v>0</v>
      </c>
      <c r="D127" s="6">
        <v>113.72676</v>
      </c>
      <c r="E127" s="6">
        <v>0</v>
      </c>
      <c r="F127" s="6">
        <f>SUM(C127:E127)</f>
        <v>113.72676</v>
      </c>
      <c r="G127" s="12">
        <f>IF(F127=0,"-",E127/F127)</f>
        <v>0</v>
      </c>
    </row>
    <row r="128" spans="1:7" x14ac:dyDescent="0.25">
      <c r="A128" s="1">
        <v>77010</v>
      </c>
      <c r="B128" s="2" t="str">
        <f>VLOOKUP(A128,[1]Planilha1!$1:$1048576,2,FALSE)</f>
        <v>Aluguel de objetos pessoais e domésticos</v>
      </c>
      <c r="C128" s="6">
        <v>0</v>
      </c>
      <c r="D128" s="6">
        <v>94.667670000000001</v>
      </c>
      <c r="E128" s="6">
        <v>0</v>
      </c>
      <c r="F128" s="6">
        <f>SUM(C128:E128)</f>
        <v>94.667670000000001</v>
      </c>
      <c r="G128" s="12">
        <f>IF(F128=0,"-",E128/F128)</f>
        <v>0</v>
      </c>
    </row>
    <row r="129" spans="1:7" x14ac:dyDescent="0.25">
      <c r="A129" s="1">
        <v>81020</v>
      </c>
      <c r="B129" s="2" t="str">
        <f>VLOOKUP(A129,[1]Planilha1!$1:$1048576,2,FALSE)</f>
        <v>Atividades paisagísticas</v>
      </c>
      <c r="C129" s="6">
        <v>0</v>
      </c>
      <c r="D129" s="6">
        <v>0</v>
      </c>
      <c r="E129" s="6">
        <v>0</v>
      </c>
      <c r="F129" s="6">
        <f>SUM(C129:E129)</f>
        <v>0</v>
      </c>
      <c r="G129" s="12" t="str">
        <f>IF(F129=0,"-",E129/F129)</f>
        <v>-</v>
      </c>
    </row>
    <row r="130" spans="1:7" x14ac:dyDescent="0.25">
      <c r="A130" s="1">
        <v>84015</v>
      </c>
      <c r="B130" s="2" t="str">
        <f>VLOOKUP(A130,[1]Planilha1!$1:$1048576,2,FALSE)</f>
        <v>Outros serviços coletivos prestados pela administração pública - Federal</v>
      </c>
      <c r="C130" s="6">
        <v>125.8159</v>
      </c>
      <c r="D130" s="6">
        <v>0</v>
      </c>
      <c r="E130" s="6">
        <v>0</v>
      </c>
      <c r="F130" s="6">
        <f>SUM(C130:E130)</f>
        <v>125.8159</v>
      </c>
      <c r="G130" s="12">
        <f>IF(F130=0,"-",E130/F130)</f>
        <v>0</v>
      </c>
    </row>
    <row r="131" spans="1:7" x14ac:dyDescent="0.25">
      <c r="A131" s="1">
        <v>84020</v>
      </c>
      <c r="B131" s="2" t="str">
        <f>VLOOKUP(A131,[1]Planilha1!$1:$1048576,2,FALSE)</f>
        <v>Seguridade social obrigatória</v>
      </c>
      <c r="C131" s="6">
        <v>333.76229000000001</v>
      </c>
      <c r="D131" s="6">
        <v>0</v>
      </c>
      <c r="E131" s="6">
        <v>0</v>
      </c>
      <c r="F131" s="6">
        <f>SUM(C131:E131)</f>
        <v>333.76229000000001</v>
      </c>
      <c r="G131" s="12">
        <f>IF(F131=0,"-",E131/F131)</f>
        <v>0</v>
      </c>
    </row>
    <row r="132" spans="1:7" x14ac:dyDescent="0.25">
      <c r="A132" s="1">
        <v>85011</v>
      </c>
      <c r="B132" s="2" t="str">
        <f>VLOOKUP(A132,[1]Planilha1!$1:$1048576,2,FALSE)</f>
        <v>Creche</v>
      </c>
      <c r="C132" s="6">
        <v>539.31368999999995</v>
      </c>
      <c r="D132" s="6">
        <v>234.06443999999999</v>
      </c>
      <c r="E132" s="6">
        <v>0</v>
      </c>
      <c r="F132" s="6">
        <f>SUM(C132:E132)</f>
        <v>773.37812999999994</v>
      </c>
      <c r="G132" s="12">
        <f>IF(F132=0,"-",E132/F132)</f>
        <v>0</v>
      </c>
    </row>
    <row r="133" spans="1:7" x14ac:dyDescent="0.25">
      <c r="A133" s="1">
        <v>85021</v>
      </c>
      <c r="B133" s="2" t="str">
        <f>VLOOKUP(A133,[1]Planilha1!$1:$1048576,2,FALSE)</f>
        <v>Serviços auxiliares à educação</v>
      </c>
      <c r="C133" s="6">
        <v>0</v>
      </c>
      <c r="D133" s="6">
        <v>0</v>
      </c>
      <c r="E133" s="6">
        <v>0</v>
      </c>
      <c r="F133" s="6">
        <f>SUM(C133:E133)</f>
        <v>0</v>
      </c>
      <c r="G133" s="12" t="str">
        <f>IF(F133=0,"-",E133/F133)</f>
        <v>-</v>
      </c>
    </row>
    <row r="134" spans="1:7" x14ac:dyDescent="0.25">
      <c r="A134" s="1">
        <v>86009</v>
      </c>
      <c r="B134" s="2" t="str">
        <f>VLOOKUP(A134,[1]Planilha1!$1:$1048576,2,FALSE)</f>
        <v>Atividades de atenção à saúde humana não especificadas anteriormente</v>
      </c>
      <c r="C134" s="6">
        <v>0</v>
      </c>
      <c r="D134" s="6">
        <v>0</v>
      </c>
      <c r="E134" s="6">
        <v>0</v>
      </c>
      <c r="F134" s="6">
        <f>SUM(C134:E134)</f>
        <v>0</v>
      </c>
      <c r="G134" s="12" t="str">
        <f>IF(F134=0,"-",E134/F134)</f>
        <v>-</v>
      </c>
    </row>
    <row r="135" spans="1:7" x14ac:dyDescent="0.25">
      <c r="A135" s="1">
        <v>87000</v>
      </c>
      <c r="B135" s="2" t="str">
        <f>VLOOKUP(A135,[1]Planilha1!$1:$1048576,2,FALSE)</f>
        <v>Atividades de assistência à saude humana integradas com assistencia social, inclusive prestadas em residencias</v>
      </c>
      <c r="C135" s="6">
        <v>0</v>
      </c>
      <c r="D135" s="6">
        <v>224.12890999999999</v>
      </c>
      <c r="E135" s="6">
        <v>0</v>
      </c>
      <c r="F135" s="6">
        <f>SUM(C135:E135)</f>
        <v>224.12890999999999</v>
      </c>
      <c r="G135" s="12">
        <f>IF(F135=0,"-",E135/F135)</f>
        <v>0</v>
      </c>
    </row>
    <row r="136" spans="1:7" x14ac:dyDescent="0.25">
      <c r="A136" s="1">
        <v>88000</v>
      </c>
      <c r="B136" s="2" t="str">
        <f>VLOOKUP(A136,[1]Planilha1!$1:$1048576,2,FALSE)</f>
        <v>Serviços de assistência social sem alojamento</v>
      </c>
      <c r="C136" s="6">
        <v>129.45495</v>
      </c>
      <c r="D136" s="6">
        <v>276.01074999999997</v>
      </c>
      <c r="E136" s="6">
        <v>0</v>
      </c>
      <c r="F136" s="6">
        <f>SUM(C136:E136)</f>
        <v>405.46569999999997</v>
      </c>
      <c r="G136" s="12">
        <f>IF(F136=0,"-",E136/F136)</f>
        <v>0</v>
      </c>
    </row>
    <row r="137" spans="1:7" x14ac:dyDescent="0.25">
      <c r="A137" s="1">
        <v>90000</v>
      </c>
      <c r="B137" s="2" t="str">
        <f>VLOOKUP(A137,[1]Planilha1!$1:$1048576,2,FALSE)</f>
        <v>Atividades artísticas, criativas e de espetáculos</v>
      </c>
      <c r="C137" s="6">
        <v>122.25067</v>
      </c>
      <c r="D137" s="6">
        <v>0</v>
      </c>
      <c r="E137" s="6">
        <v>0</v>
      </c>
      <c r="F137" s="6">
        <f>SUM(C137:E137)</f>
        <v>122.25067</v>
      </c>
      <c r="G137" s="12">
        <f>IF(F137=0,"-",E137/F137)</f>
        <v>0</v>
      </c>
    </row>
    <row r="138" spans="1:7" x14ac:dyDescent="0.25">
      <c r="A138" s="1">
        <v>94010</v>
      </c>
      <c r="B138" s="2" t="str">
        <f>VLOOKUP(A138,[1]Planilha1!$1:$1048576,2,FALSE)</f>
        <v>Atividades de organizações associativas patronais, empresariais e profissionais</v>
      </c>
      <c r="C138" s="6">
        <v>0</v>
      </c>
      <c r="D138" s="6">
        <v>0</v>
      </c>
      <c r="E138" s="6">
        <v>0</v>
      </c>
      <c r="F138" s="6">
        <f>SUM(C138:E138)</f>
        <v>0</v>
      </c>
      <c r="G138" s="12" t="str">
        <f>IF(F138=0,"-",E138/F138)</f>
        <v>-</v>
      </c>
    </row>
    <row r="139" spans="1:7" x14ac:dyDescent="0.25">
      <c r="A139" s="1">
        <v>94020</v>
      </c>
      <c r="B139" s="2" t="str">
        <f>VLOOKUP(A139,[1]Planilha1!$1:$1048576,2,FALSE)</f>
        <v>Atividades de organizações sindicais</v>
      </c>
      <c r="C139" s="6">
        <v>0</v>
      </c>
      <c r="D139" s="6">
        <v>0</v>
      </c>
      <c r="E139" s="6">
        <v>0</v>
      </c>
      <c r="F139" s="6">
        <f>SUM(C139:E139)</f>
        <v>0</v>
      </c>
      <c r="G139" s="12" t="str">
        <f>IF(F139=0,"-",E139/F139)</f>
        <v>-</v>
      </c>
    </row>
    <row r="140" spans="1:7" x14ac:dyDescent="0.25">
      <c r="A140" s="1">
        <v>94099</v>
      </c>
      <c r="B140" s="2" t="str">
        <f>VLOOKUP(A140,[1]Planilha1!$1:$1048576,2,FALSE)</f>
        <v xml:space="preserve">Outras atividades associativas não especificadas anteriormente </v>
      </c>
      <c r="C140" s="6">
        <v>0</v>
      </c>
      <c r="D140" s="6">
        <v>294.35259000000002</v>
      </c>
      <c r="E140" s="6">
        <v>0</v>
      </c>
      <c r="F140" s="6">
        <f>SUM(C140:E140)</f>
        <v>294.35259000000002</v>
      </c>
      <c r="G140" s="12">
        <f>IF(F140=0,"-",E140/F140)</f>
        <v>0</v>
      </c>
    </row>
    <row r="141" spans="1:7" x14ac:dyDescent="0.25">
      <c r="A141" s="1">
        <v>96090</v>
      </c>
      <c r="B141" s="2" t="str">
        <f>VLOOKUP(A141,[1]Planilha1!$1:$1048576,2,FALSE)</f>
        <v>Outras atividades de serviços pessoais</v>
      </c>
      <c r="C141" s="6">
        <v>0</v>
      </c>
      <c r="D141" s="6">
        <v>0</v>
      </c>
      <c r="E141" s="6">
        <v>0</v>
      </c>
      <c r="F141" s="6">
        <f>SUM(C141:E141)</f>
        <v>0</v>
      </c>
      <c r="G141" s="12" t="str">
        <f>IF(F141=0,"-",E141/F141)</f>
        <v>-</v>
      </c>
    </row>
  </sheetData>
  <autoFilter ref="A2:G2" xr:uid="{09D49883-8C6D-4224-A89A-E551D740C213}">
    <sortState xmlns:xlrd2="http://schemas.microsoft.com/office/spreadsheetml/2017/richdata2" ref="A3:G141">
      <sortCondition descending="1" ref="E2"/>
    </sortState>
  </autoFilter>
  <conditionalFormatting sqref="E3:E1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D762-A22C-4706-910D-37170967CE5D}">
  <dimension ref="B1:C140"/>
  <sheetViews>
    <sheetView showGridLines="0" topLeftCell="A119" workbookViewId="0">
      <selection activeCell="C1" sqref="C1:C139"/>
    </sheetView>
  </sheetViews>
  <sheetFormatPr defaultRowHeight="15" x14ac:dyDescent="0.25"/>
  <sheetData>
    <row r="1" spans="2:3" x14ac:dyDescent="0.25">
      <c r="B1">
        <v>1102</v>
      </c>
      <c r="C1">
        <v>0</v>
      </c>
    </row>
    <row r="2" spans="2:3" x14ac:dyDescent="0.25">
      <c r="B2">
        <v>1107</v>
      </c>
      <c r="C2">
        <v>0</v>
      </c>
    </row>
    <row r="3" spans="2:3" x14ac:dyDescent="0.25">
      <c r="B3">
        <v>1108</v>
      </c>
      <c r="C3">
        <v>0</v>
      </c>
    </row>
    <row r="4" spans="2:3" x14ac:dyDescent="0.25">
      <c r="B4">
        <v>1109</v>
      </c>
      <c r="C4">
        <v>0</v>
      </c>
    </row>
    <row r="5" spans="2:3" x14ac:dyDescent="0.25">
      <c r="B5">
        <v>1110</v>
      </c>
      <c r="C5">
        <v>0</v>
      </c>
    </row>
    <row r="6" spans="2:3" x14ac:dyDescent="0.25">
      <c r="B6">
        <v>1112</v>
      </c>
      <c r="C6">
        <v>0</v>
      </c>
    </row>
    <row r="7" spans="2:3" x14ac:dyDescent="0.25">
      <c r="B7">
        <v>1114</v>
      </c>
      <c r="C7">
        <v>0</v>
      </c>
    </row>
    <row r="8" spans="2:3" x14ac:dyDescent="0.25">
      <c r="B8">
        <v>1116</v>
      </c>
      <c r="C8">
        <v>0</v>
      </c>
    </row>
    <row r="9" spans="2:3" x14ac:dyDescent="0.25">
      <c r="B9">
        <v>1117</v>
      </c>
      <c r="C9">
        <v>0</v>
      </c>
    </row>
    <row r="10" spans="2:3" x14ac:dyDescent="0.25">
      <c r="B10">
        <v>1201</v>
      </c>
      <c r="C10">
        <v>0</v>
      </c>
    </row>
    <row r="11" spans="2:3" x14ac:dyDescent="0.25">
      <c r="B11">
        <v>1202</v>
      </c>
      <c r="C11">
        <v>0</v>
      </c>
    </row>
    <row r="12" spans="2:3" x14ac:dyDescent="0.25">
      <c r="B12">
        <v>1204</v>
      </c>
      <c r="C12">
        <v>0</v>
      </c>
    </row>
    <row r="13" spans="2:3" x14ac:dyDescent="0.25">
      <c r="B13">
        <v>1205</v>
      </c>
      <c r="C13">
        <v>0</v>
      </c>
    </row>
    <row r="14" spans="2:3" x14ac:dyDescent="0.25">
      <c r="B14">
        <v>1401</v>
      </c>
      <c r="C14">
        <v>0</v>
      </c>
    </row>
    <row r="15" spans="2:3" x14ac:dyDescent="0.25">
      <c r="B15">
        <v>1402</v>
      </c>
      <c r="C15">
        <v>0</v>
      </c>
    </row>
    <row r="16" spans="2:3" x14ac:dyDescent="0.25">
      <c r="B16">
        <v>2000</v>
      </c>
      <c r="C16">
        <v>0</v>
      </c>
    </row>
    <row r="17" spans="2:3" x14ac:dyDescent="0.25">
      <c r="B17">
        <v>3001</v>
      </c>
      <c r="C17">
        <v>0</v>
      </c>
    </row>
    <row r="18" spans="2:3" x14ac:dyDescent="0.25">
      <c r="B18">
        <v>3002</v>
      </c>
      <c r="C18">
        <v>0</v>
      </c>
    </row>
    <row r="19" spans="2:3" x14ac:dyDescent="0.25">
      <c r="B19">
        <v>7001</v>
      </c>
      <c r="C19">
        <v>0</v>
      </c>
    </row>
    <row r="20" spans="2:3" x14ac:dyDescent="0.25">
      <c r="B20">
        <v>8001</v>
      </c>
      <c r="C20">
        <v>0</v>
      </c>
    </row>
    <row r="21" spans="2:3" x14ac:dyDescent="0.25">
      <c r="B21">
        <v>10010</v>
      </c>
      <c r="C21">
        <v>411.07967000000002</v>
      </c>
    </row>
    <row r="22" spans="2:3" x14ac:dyDescent="0.25">
      <c r="B22">
        <v>10022</v>
      </c>
      <c r="C22">
        <v>0</v>
      </c>
    </row>
    <row r="23" spans="2:3" x14ac:dyDescent="0.25">
      <c r="B23">
        <v>10030</v>
      </c>
      <c r="C23">
        <v>0</v>
      </c>
    </row>
    <row r="24" spans="2:3" x14ac:dyDescent="0.25">
      <c r="B24">
        <v>10091</v>
      </c>
      <c r="C24">
        <v>0</v>
      </c>
    </row>
    <row r="25" spans="2:3" x14ac:dyDescent="0.25">
      <c r="B25">
        <v>10099</v>
      </c>
      <c r="C25">
        <v>65.844459999999998</v>
      </c>
    </row>
    <row r="26" spans="2:3" x14ac:dyDescent="0.25">
      <c r="B26">
        <v>11000</v>
      </c>
      <c r="C26">
        <v>0</v>
      </c>
    </row>
    <row r="27" spans="2:3" x14ac:dyDescent="0.25">
      <c r="B27">
        <v>13001</v>
      </c>
      <c r="C27">
        <v>0</v>
      </c>
    </row>
    <row r="28" spans="2:3" x14ac:dyDescent="0.25">
      <c r="B28">
        <v>13002</v>
      </c>
      <c r="C28">
        <v>0</v>
      </c>
    </row>
    <row r="29" spans="2:3" x14ac:dyDescent="0.25">
      <c r="B29">
        <v>14001</v>
      </c>
      <c r="C29">
        <v>0</v>
      </c>
    </row>
    <row r="30" spans="2:3" x14ac:dyDescent="0.25">
      <c r="B30">
        <v>14002</v>
      </c>
      <c r="C30">
        <v>0</v>
      </c>
    </row>
    <row r="31" spans="2:3" x14ac:dyDescent="0.25">
      <c r="B31">
        <v>16001</v>
      </c>
      <c r="C31">
        <v>0</v>
      </c>
    </row>
    <row r="32" spans="2:3" x14ac:dyDescent="0.25">
      <c r="B32">
        <v>16002</v>
      </c>
      <c r="C32">
        <v>0</v>
      </c>
    </row>
    <row r="33" spans="2:3" x14ac:dyDescent="0.25">
      <c r="B33">
        <v>17002</v>
      </c>
      <c r="C33">
        <v>90.403459999999995</v>
      </c>
    </row>
    <row r="34" spans="2:3" x14ac:dyDescent="0.25">
      <c r="B34">
        <v>18000</v>
      </c>
      <c r="C34">
        <v>0</v>
      </c>
    </row>
    <row r="35" spans="2:3" x14ac:dyDescent="0.25">
      <c r="B35">
        <v>22020</v>
      </c>
      <c r="C35">
        <v>0</v>
      </c>
    </row>
    <row r="36" spans="2:3" x14ac:dyDescent="0.25">
      <c r="B36">
        <v>23091</v>
      </c>
      <c r="C36">
        <v>0</v>
      </c>
    </row>
    <row r="37" spans="2:3" x14ac:dyDescent="0.25">
      <c r="B37">
        <v>23099</v>
      </c>
      <c r="C37">
        <v>0</v>
      </c>
    </row>
    <row r="38" spans="2:3" x14ac:dyDescent="0.25">
      <c r="B38">
        <v>25001</v>
      </c>
      <c r="C38">
        <v>0</v>
      </c>
    </row>
    <row r="39" spans="2:3" x14ac:dyDescent="0.25">
      <c r="B39">
        <v>25002</v>
      </c>
      <c r="C39">
        <v>0</v>
      </c>
    </row>
    <row r="40" spans="2:3" x14ac:dyDescent="0.25">
      <c r="B40">
        <v>26010</v>
      </c>
      <c r="C40">
        <v>166.98185000000001</v>
      </c>
    </row>
    <row r="41" spans="2:3" x14ac:dyDescent="0.25">
      <c r="B41">
        <v>31000</v>
      </c>
      <c r="C41">
        <v>0</v>
      </c>
    </row>
    <row r="42" spans="2:3" x14ac:dyDescent="0.25">
      <c r="B42">
        <v>32001</v>
      </c>
      <c r="C42">
        <v>0</v>
      </c>
    </row>
    <row r="43" spans="2:3" x14ac:dyDescent="0.25">
      <c r="B43">
        <v>32009</v>
      </c>
      <c r="C43">
        <v>172.61679000000001</v>
      </c>
    </row>
    <row r="44" spans="2:3" x14ac:dyDescent="0.25">
      <c r="B44">
        <v>33001</v>
      </c>
      <c r="C44">
        <v>0</v>
      </c>
    </row>
    <row r="45" spans="2:3" x14ac:dyDescent="0.25">
      <c r="B45">
        <v>33002</v>
      </c>
      <c r="C45">
        <v>0</v>
      </c>
    </row>
    <row r="46" spans="2:3" x14ac:dyDescent="0.25">
      <c r="B46">
        <v>35010</v>
      </c>
      <c r="C46">
        <v>572.26005999999995</v>
      </c>
    </row>
    <row r="47" spans="2:3" x14ac:dyDescent="0.25">
      <c r="B47">
        <v>36000</v>
      </c>
      <c r="C47">
        <v>561.52724000000001</v>
      </c>
    </row>
    <row r="48" spans="2:3" x14ac:dyDescent="0.25">
      <c r="B48">
        <v>38000</v>
      </c>
      <c r="C48">
        <v>0</v>
      </c>
    </row>
    <row r="49" spans="2:3" x14ac:dyDescent="0.25">
      <c r="B49">
        <v>41000</v>
      </c>
      <c r="C49">
        <v>126.31973000000001</v>
      </c>
    </row>
    <row r="50" spans="2:3" x14ac:dyDescent="0.25">
      <c r="B50">
        <v>42000</v>
      </c>
      <c r="C50">
        <v>130.11552</v>
      </c>
    </row>
    <row r="51" spans="2:3" x14ac:dyDescent="0.25">
      <c r="B51">
        <v>43000</v>
      </c>
      <c r="C51">
        <v>150.38847999999999</v>
      </c>
    </row>
    <row r="52" spans="2:3" x14ac:dyDescent="0.25">
      <c r="B52">
        <v>45010</v>
      </c>
      <c r="C52">
        <v>124.01631999999999</v>
      </c>
    </row>
    <row r="53" spans="2:3" x14ac:dyDescent="0.25">
      <c r="B53">
        <v>45020</v>
      </c>
      <c r="C53">
        <v>0</v>
      </c>
    </row>
    <row r="54" spans="2:3" x14ac:dyDescent="0.25">
      <c r="B54">
        <v>45030</v>
      </c>
      <c r="C54">
        <v>0</v>
      </c>
    </row>
    <row r="55" spans="2:3" x14ac:dyDescent="0.25">
      <c r="B55">
        <v>45040</v>
      </c>
      <c r="C55">
        <v>0</v>
      </c>
    </row>
    <row r="56" spans="2:3" x14ac:dyDescent="0.25">
      <c r="B56">
        <v>48020</v>
      </c>
      <c r="C56">
        <v>0</v>
      </c>
    </row>
    <row r="57" spans="2:3" x14ac:dyDescent="0.25">
      <c r="B57">
        <v>48030</v>
      </c>
      <c r="C57">
        <v>491.36327999999997</v>
      </c>
    </row>
    <row r="58" spans="2:3" x14ac:dyDescent="0.25">
      <c r="B58">
        <v>48041</v>
      </c>
      <c r="C58">
        <v>0</v>
      </c>
    </row>
    <row r="59" spans="2:3" x14ac:dyDescent="0.25">
      <c r="B59">
        <v>48042</v>
      </c>
      <c r="C59">
        <v>419.55694999999997</v>
      </c>
    </row>
    <row r="60" spans="2:3" x14ac:dyDescent="0.25">
      <c r="B60">
        <v>48050</v>
      </c>
      <c r="C60">
        <v>60.301110000000001</v>
      </c>
    </row>
    <row r="61" spans="2:3" x14ac:dyDescent="0.25">
      <c r="B61">
        <v>48060</v>
      </c>
      <c r="C61">
        <v>926.52074000000005</v>
      </c>
    </row>
    <row r="62" spans="2:3" x14ac:dyDescent="0.25">
      <c r="B62">
        <v>48071</v>
      </c>
      <c r="C62">
        <v>371.37007999999997</v>
      </c>
    </row>
    <row r="63" spans="2:3" x14ac:dyDescent="0.25">
      <c r="B63">
        <v>48072</v>
      </c>
      <c r="C63">
        <v>0</v>
      </c>
    </row>
    <row r="64" spans="2:3" x14ac:dyDescent="0.25">
      <c r="B64">
        <v>48073</v>
      </c>
      <c r="C64">
        <v>0</v>
      </c>
    </row>
    <row r="65" spans="2:3" x14ac:dyDescent="0.25">
      <c r="B65">
        <v>48074</v>
      </c>
      <c r="C65">
        <v>781.23762999999997</v>
      </c>
    </row>
    <row r="66" spans="2:3" x14ac:dyDescent="0.25">
      <c r="B66">
        <v>48075</v>
      </c>
      <c r="C66">
        <v>0</v>
      </c>
    </row>
    <row r="67" spans="2:3" x14ac:dyDescent="0.25">
      <c r="B67">
        <v>48076</v>
      </c>
      <c r="C67">
        <v>0</v>
      </c>
    </row>
    <row r="68" spans="2:3" x14ac:dyDescent="0.25">
      <c r="B68">
        <v>48078</v>
      </c>
      <c r="C68">
        <v>0</v>
      </c>
    </row>
    <row r="69" spans="2:3" x14ac:dyDescent="0.25">
      <c r="B69">
        <v>48079</v>
      </c>
      <c r="C69">
        <v>741.30906000000004</v>
      </c>
    </row>
    <row r="70" spans="2:3" x14ac:dyDescent="0.25">
      <c r="B70">
        <v>48080</v>
      </c>
      <c r="C70">
        <v>846.94325000000003</v>
      </c>
    </row>
    <row r="71" spans="2:3" x14ac:dyDescent="0.25">
      <c r="B71">
        <v>48090</v>
      </c>
      <c r="C71">
        <v>130.27758</v>
      </c>
    </row>
    <row r="72" spans="2:3" x14ac:dyDescent="0.25">
      <c r="B72">
        <v>48100</v>
      </c>
      <c r="C72">
        <v>0</v>
      </c>
    </row>
    <row r="73" spans="2:3" x14ac:dyDescent="0.25">
      <c r="B73">
        <v>49030</v>
      </c>
      <c r="C73">
        <v>125.03222</v>
      </c>
    </row>
    <row r="74" spans="2:3" x14ac:dyDescent="0.25">
      <c r="B74">
        <v>49040</v>
      </c>
      <c r="C74">
        <v>0</v>
      </c>
    </row>
    <row r="75" spans="2:3" x14ac:dyDescent="0.25">
      <c r="B75">
        <v>51000</v>
      </c>
      <c r="C75">
        <v>0</v>
      </c>
    </row>
    <row r="76" spans="2:3" x14ac:dyDescent="0.25">
      <c r="B76">
        <v>52010</v>
      </c>
      <c r="C76">
        <v>0</v>
      </c>
    </row>
    <row r="77" spans="2:3" x14ac:dyDescent="0.25">
      <c r="B77">
        <v>52020</v>
      </c>
      <c r="C77">
        <v>0</v>
      </c>
    </row>
    <row r="78" spans="2:3" x14ac:dyDescent="0.25">
      <c r="B78">
        <v>53001</v>
      </c>
      <c r="C78">
        <v>0</v>
      </c>
    </row>
    <row r="79" spans="2:3" x14ac:dyDescent="0.25">
      <c r="B79">
        <v>53002</v>
      </c>
      <c r="C79">
        <v>0</v>
      </c>
    </row>
    <row r="80" spans="2:3" x14ac:dyDescent="0.25">
      <c r="B80">
        <v>55000</v>
      </c>
      <c r="C80">
        <v>0</v>
      </c>
    </row>
    <row r="81" spans="2:3" x14ac:dyDescent="0.25">
      <c r="B81">
        <v>56011</v>
      </c>
      <c r="C81">
        <v>1692.0454099999999</v>
      </c>
    </row>
    <row r="82" spans="2:3" x14ac:dyDescent="0.25">
      <c r="B82">
        <v>56012</v>
      </c>
      <c r="C82">
        <v>85.923090000000002</v>
      </c>
    </row>
    <row r="83" spans="2:3" x14ac:dyDescent="0.25">
      <c r="B83">
        <v>56020</v>
      </c>
      <c r="C83">
        <v>270.99511000000001</v>
      </c>
    </row>
    <row r="84" spans="2:3" x14ac:dyDescent="0.25">
      <c r="B84">
        <v>58000</v>
      </c>
      <c r="C84">
        <v>0</v>
      </c>
    </row>
    <row r="85" spans="2:3" x14ac:dyDescent="0.25">
      <c r="B85">
        <v>60001</v>
      </c>
      <c r="C85">
        <v>0</v>
      </c>
    </row>
    <row r="86" spans="2:3" x14ac:dyDescent="0.25">
      <c r="B86">
        <v>60002</v>
      </c>
      <c r="C86">
        <v>0</v>
      </c>
    </row>
    <row r="87" spans="2:3" x14ac:dyDescent="0.25">
      <c r="B87">
        <v>61000</v>
      </c>
      <c r="C87">
        <v>250.32247000000001</v>
      </c>
    </row>
    <row r="88" spans="2:3" x14ac:dyDescent="0.25">
      <c r="B88">
        <v>62000</v>
      </c>
      <c r="C88">
        <v>0</v>
      </c>
    </row>
    <row r="89" spans="2:3" x14ac:dyDescent="0.25">
      <c r="B89">
        <v>63000</v>
      </c>
      <c r="C89">
        <v>197.33839</v>
      </c>
    </row>
    <row r="90" spans="2:3" x14ac:dyDescent="0.25">
      <c r="B90">
        <v>64000</v>
      </c>
      <c r="C90">
        <v>775.55539999999996</v>
      </c>
    </row>
    <row r="91" spans="2:3" x14ac:dyDescent="0.25">
      <c r="B91">
        <v>65000</v>
      </c>
      <c r="C91">
        <v>71.985849999999999</v>
      </c>
    </row>
    <row r="92" spans="2:3" x14ac:dyDescent="0.25">
      <c r="B92">
        <v>66002</v>
      </c>
      <c r="C92">
        <v>58.539859999999997</v>
      </c>
    </row>
    <row r="93" spans="2:3" x14ac:dyDescent="0.25">
      <c r="B93">
        <v>68000</v>
      </c>
      <c r="C93">
        <v>0</v>
      </c>
    </row>
    <row r="94" spans="2:3" x14ac:dyDescent="0.25">
      <c r="B94">
        <v>69000</v>
      </c>
      <c r="C94">
        <v>198.68566000000001</v>
      </c>
    </row>
    <row r="95" spans="2:3" x14ac:dyDescent="0.25">
      <c r="B95">
        <v>70000</v>
      </c>
      <c r="C95">
        <v>0</v>
      </c>
    </row>
    <row r="96" spans="2:3" x14ac:dyDescent="0.25">
      <c r="B96">
        <v>71000</v>
      </c>
      <c r="C96">
        <v>107.008</v>
      </c>
    </row>
    <row r="97" spans="2:3" x14ac:dyDescent="0.25">
      <c r="B97">
        <v>72000</v>
      </c>
      <c r="C97">
        <v>0</v>
      </c>
    </row>
    <row r="98" spans="2:3" x14ac:dyDescent="0.25">
      <c r="B98">
        <v>73010</v>
      </c>
      <c r="C98">
        <v>165.40424999999999</v>
      </c>
    </row>
    <row r="99" spans="2:3" x14ac:dyDescent="0.25">
      <c r="B99">
        <v>74000</v>
      </c>
      <c r="C99">
        <v>0</v>
      </c>
    </row>
    <row r="100" spans="2:3" x14ac:dyDescent="0.25">
      <c r="B100">
        <v>75000</v>
      </c>
      <c r="C100">
        <v>0</v>
      </c>
    </row>
    <row r="101" spans="2:3" x14ac:dyDescent="0.25">
      <c r="B101">
        <v>77010</v>
      </c>
      <c r="C101">
        <v>0</v>
      </c>
    </row>
    <row r="102" spans="2:3" x14ac:dyDescent="0.25">
      <c r="B102">
        <v>78000</v>
      </c>
      <c r="C102">
        <v>2185.22541</v>
      </c>
    </row>
    <row r="103" spans="2:3" x14ac:dyDescent="0.25">
      <c r="B103">
        <v>80000</v>
      </c>
      <c r="C103">
        <v>591.85694000000001</v>
      </c>
    </row>
    <row r="104" spans="2:3" x14ac:dyDescent="0.25">
      <c r="B104">
        <v>81011</v>
      </c>
      <c r="C104">
        <v>457.35536000000002</v>
      </c>
    </row>
    <row r="105" spans="2:3" x14ac:dyDescent="0.25">
      <c r="B105">
        <v>81020</v>
      </c>
      <c r="C105">
        <v>0</v>
      </c>
    </row>
    <row r="106" spans="2:3" x14ac:dyDescent="0.25">
      <c r="B106">
        <v>82003</v>
      </c>
      <c r="C106">
        <v>0</v>
      </c>
    </row>
    <row r="107" spans="2:3" x14ac:dyDescent="0.25">
      <c r="B107">
        <v>82009</v>
      </c>
      <c r="C107">
        <v>0</v>
      </c>
    </row>
    <row r="108" spans="2:3" x14ac:dyDescent="0.25">
      <c r="B108">
        <v>84011</v>
      </c>
      <c r="C108">
        <v>691.24531999999999</v>
      </c>
    </row>
    <row r="109" spans="2:3" x14ac:dyDescent="0.25">
      <c r="B109">
        <v>84012</v>
      </c>
      <c r="C109">
        <v>4758.4811600000003</v>
      </c>
    </row>
    <row r="110" spans="2:3" x14ac:dyDescent="0.25">
      <c r="B110">
        <v>84013</v>
      </c>
      <c r="C110">
        <v>2008.0927899999999</v>
      </c>
    </row>
    <row r="111" spans="2:3" x14ac:dyDescent="0.25">
      <c r="B111">
        <v>84014</v>
      </c>
      <c r="C111">
        <v>999.36158999999998</v>
      </c>
    </row>
    <row r="112" spans="2:3" x14ac:dyDescent="0.25">
      <c r="B112">
        <v>84015</v>
      </c>
      <c r="C112">
        <v>125.8159</v>
      </c>
    </row>
    <row r="113" spans="2:3" x14ac:dyDescent="0.25">
      <c r="B113">
        <v>84016</v>
      </c>
      <c r="C113">
        <v>2869.75</v>
      </c>
    </row>
    <row r="114" spans="2:3" x14ac:dyDescent="0.25">
      <c r="B114">
        <v>84017</v>
      </c>
      <c r="C114">
        <v>407.15771999999998</v>
      </c>
    </row>
    <row r="115" spans="2:3" x14ac:dyDescent="0.25">
      <c r="B115">
        <v>84020</v>
      </c>
      <c r="C115">
        <v>333.76229000000001</v>
      </c>
    </row>
    <row r="116" spans="2:3" x14ac:dyDescent="0.25">
      <c r="B116">
        <v>85011</v>
      </c>
      <c r="C116">
        <v>539.31368999999995</v>
      </c>
    </row>
    <row r="117" spans="2:3" x14ac:dyDescent="0.25">
      <c r="B117">
        <v>85012</v>
      </c>
      <c r="C117">
        <v>6039.3291399999998</v>
      </c>
    </row>
    <row r="118" spans="2:3" x14ac:dyDescent="0.25">
      <c r="B118">
        <v>85013</v>
      </c>
      <c r="C118">
        <v>2357.1476499999999</v>
      </c>
    </row>
    <row r="119" spans="2:3" x14ac:dyDescent="0.25">
      <c r="B119">
        <v>85014</v>
      </c>
      <c r="C119">
        <v>856.89814000000001</v>
      </c>
    </row>
    <row r="120" spans="2:3" x14ac:dyDescent="0.25">
      <c r="B120">
        <v>85021</v>
      </c>
      <c r="C120">
        <v>0</v>
      </c>
    </row>
    <row r="121" spans="2:3" x14ac:dyDescent="0.25">
      <c r="B121">
        <v>85029</v>
      </c>
      <c r="C121">
        <v>120.57559000000001</v>
      </c>
    </row>
    <row r="122" spans="2:3" x14ac:dyDescent="0.25">
      <c r="B122">
        <v>86001</v>
      </c>
      <c r="C122">
        <v>1597.49775</v>
      </c>
    </row>
    <row r="123" spans="2:3" x14ac:dyDescent="0.25">
      <c r="B123">
        <v>86002</v>
      </c>
      <c r="C123">
        <v>734.61924999999997</v>
      </c>
    </row>
    <row r="124" spans="2:3" x14ac:dyDescent="0.25">
      <c r="B124">
        <v>86003</v>
      </c>
      <c r="C124">
        <v>244.28783999999999</v>
      </c>
    </row>
    <row r="125" spans="2:3" x14ac:dyDescent="0.25">
      <c r="B125">
        <v>86004</v>
      </c>
      <c r="C125">
        <v>208.21091000000001</v>
      </c>
    </row>
    <row r="126" spans="2:3" x14ac:dyDescent="0.25">
      <c r="B126">
        <v>86009</v>
      </c>
      <c r="C126">
        <v>0</v>
      </c>
    </row>
    <row r="127" spans="2:3" x14ac:dyDescent="0.25">
      <c r="B127">
        <v>87000</v>
      </c>
      <c r="C127">
        <v>0</v>
      </c>
    </row>
    <row r="128" spans="2:3" x14ac:dyDescent="0.25">
      <c r="B128">
        <v>88000</v>
      </c>
      <c r="C128">
        <v>129.45495</v>
      </c>
    </row>
    <row r="129" spans="2:3" x14ac:dyDescent="0.25">
      <c r="B129">
        <v>90000</v>
      </c>
      <c r="C129">
        <v>122.25067</v>
      </c>
    </row>
    <row r="130" spans="2:3" x14ac:dyDescent="0.25">
      <c r="B130">
        <v>93012</v>
      </c>
      <c r="C130">
        <v>85.563599999999994</v>
      </c>
    </row>
    <row r="131" spans="2:3" x14ac:dyDescent="0.25">
      <c r="B131">
        <v>94010</v>
      </c>
      <c r="C131">
        <v>0</v>
      </c>
    </row>
    <row r="132" spans="2:3" x14ac:dyDescent="0.25">
      <c r="B132">
        <v>94020</v>
      </c>
      <c r="C132">
        <v>0</v>
      </c>
    </row>
    <row r="133" spans="2:3" x14ac:dyDescent="0.25">
      <c r="B133">
        <v>94091</v>
      </c>
      <c r="C133">
        <v>0</v>
      </c>
    </row>
    <row r="134" spans="2:3" x14ac:dyDescent="0.25">
      <c r="B134">
        <v>94099</v>
      </c>
      <c r="C134">
        <v>0</v>
      </c>
    </row>
    <row r="135" spans="2:3" x14ac:dyDescent="0.25">
      <c r="B135">
        <v>95010</v>
      </c>
      <c r="C135">
        <v>0</v>
      </c>
    </row>
    <row r="136" spans="2:3" x14ac:dyDescent="0.25">
      <c r="B136">
        <v>95030</v>
      </c>
      <c r="C136">
        <v>159.57715999999999</v>
      </c>
    </row>
    <row r="137" spans="2:3" x14ac:dyDescent="0.25">
      <c r="B137">
        <v>96020</v>
      </c>
      <c r="C137">
        <v>268.63702000000001</v>
      </c>
    </row>
    <row r="138" spans="2:3" x14ac:dyDescent="0.25">
      <c r="B138">
        <v>96090</v>
      </c>
      <c r="C138">
        <v>0</v>
      </c>
    </row>
    <row r="139" spans="2:3" x14ac:dyDescent="0.25">
      <c r="B139">
        <v>97000</v>
      </c>
      <c r="C139">
        <v>481.92270000000002</v>
      </c>
    </row>
    <row r="140" spans="2:3" x14ac:dyDescent="0.25">
      <c r="B140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32C7-A579-41DC-A714-CF07919152A0}">
  <dimension ref="B2:C140"/>
  <sheetViews>
    <sheetView showGridLines="0" topLeftCell="A117" workbookViewId="0">
      <selection activeCell="C2" sqref="C2:C140"/>
    </sheetView>
  </sheetViews>
  <sheetFormatPr defaultRowHeight="15" x14ac:dyDescent="0.25"/>
  <sheetData>
    <row r="2" spans="2:3" x14ac:dyDescent="0.25">
      <c r="B2" s="7">
        <v>1102</v>
      </c>
      <c r="C2">
        <v>48.895099999999999</v>
      </c>
    </row>
    <row r="3" spans="2:3" x14ac:dyDescent="0.25">
      <c r="B3" s="7">
        <v>1107</v>
      </c>
      <c r="C3">
        <v>130.69199</v>
      </c>
    </row>
    <row r="4" spans="2:3" x14ac:dyDescent="0.25">
      <c r="B4" s="7">
        <v>1108</v>
      </c>
      <c r="C4">
        <v>0</v>
      </c>
    </row>
    <row r="5" spans="2:3" x14ac:dyDescent="0.25">
      <c r="B5" s="7">
        <v>1109</v>
      </c>
      <c r="C5">
        <v>0</v>
      </c>
    </row>
    <row r="6" spans="2:3" x14ac:dyDescent="0.25">
      <c r="B6" s="7">
        <v>1110</v>
      </c>
      <c r="C6">
        <v>0</v>
      </c>
    </row>
    <row r="7" spans="2:3" x14ac:dyDescent="0.25">
      <c r="B7" s="7">
        <v>1112</v>
      </c>
      <c r="C7">
        <v>0</v>
      </c>
    </row>
    <row r="8" spans="2:3" x14ac:dyDescent="0.25">
      <c r="B8" s="7">
        <v>1114</v>
      </c>
      <c r="C8">
        <v>0</v>
      </c>
    </row>
    <row r="9" spans="2:3" x14ac:dyDescent="0.25">
      <c r="B9" s="7">
        <v>1116</v>
      </c>
      <c r="C9">
        <v>50.088259999999998</v>
      </c>
    </row>
    <row r="10" spans="2:3" x14ac:dyDescent="0.25">
      <c r="B10" s="7">
        <v>1117</v>
      </c>
      <c r="C10">
        <v>30.319410000000001</v>
      </c>
    </row>
    <row r="11" spans="2:3" x14ac:dyDescent="0.25">
      <c r="B11" s="7">
        <v>1201</v>
      </c>
      <c r="C11">
        <v>69.855019999999996</v>
      </c>
    </row>
    <row r="12" spans="2:3" x14ac:dyDescent="0.25">
      <c r="B12" s="7">
        <v>1202</v>
      </c>
      <c r="C12">
        <v>0</v>
      </c>
    </row>
    <row r="13" spans="2:3" x14ac:dyDescent="0.25">
      <c r="B13" s="7">
        <v>1204</v>
      </c>
      <c r="C13">
        <v>0</v>
      </c>
    </row>
    <row r="14" spans="2:3" x14ac:dyDescent="0.25">
      <c r="B14" s="7">
        <v>1205</v>
      </c>
      <c r="C14">
        <v>423.03640999999999</v>
      </c>
    </row>
    <row r="15" spans="2:3" x14ac:dyDescent="0.25">
      <c r="B15" s="7">
        <v>1401</v>
      </c>
      <c r="C15">
        <v>146.06994</v>
      </c>
    </row>
    <row r="16" spans="2:3" x14ac:dyDescent="0.25">
      <c r="B16" s="7">
        <v>1402</v>
      </c>
      <c r="C16">
        <v>0</v>
      </c>
    </row>
    <row r="17" spans="2:3" x14ac:dyDescent="0.25">
      <c r="B17" s="7">
        <v>2000</v>
      </c>
      <c r="C17">
        <v>0</v>
      </c>
    </row>
    <row r="18" spans="2:3" x14ac:dyDescent="0.25">
      <c r="B18" s="7">
        <v>3001</v>
      </c>
      <c r="C18">
        <v>0</v>
      </c>
    </row>
    <row r="19" spans="2:3" x14ac:dyDescent="0.25">
      <c r="B19" s="7">
        <v>3002</v>
      </c>
      <c r="C19">
        <v>0</v>
      </c>
    </row>
    <row r="20" spans="2:3" x14ac:dyDescent="0.25">
      <c r="B20" s="7">
        <v>7001</v>
      </c>
      <c r="C20">
        <v>0</v>
      </c>
    </row>
    <row r="21" spans="2:3" x14ac:dyDescent="0.25">
      <c r="B21" s="7">
        <v>8001</v>
      </c>
      <c r="C21">
        <v>0</v>
      </c>
    </row>
    <row r="22" spans="2:3" x14ac:dyDescent="0.25">
      <c r="B22" s="7">
        <v>10010</v>
      </c>
      <c r="C22">
        <v>0</v>
      </c>
    </row>
    <row r="23" spans="2:3" x14ac:dyDescent="0.25">
      <c r="B23" s="7">
        <v>10022</v>
      </c>
      <c r="C23">
        <v>58.704819999999998</v>
      </c>
    </row>
    <row r="24" spans="2:3" x14ac:dyDescent="0.25">
      <c r="B24" s="7">
        <v>10030</v>
      </c>
      <c r="C24">
        <v>0</v>
      </c>
    </row>
    <row r="25" spans="2:3" x14ac:dyDescent="0.25">
      <c r="B25" s="7">
        <v>10091</v>
      </c>
      <c r="C25">
        <v>0</v>
      </c>
    </row>
    <row r="26" spans="2:3" x14ac:dyDescent="0.25">
      <c r="B26" s="7">
        <v>10099</v>
      </c>
      <c r="C26">
        <v>508.90264999999999</v>
      </c>
    </row>
    <row r="27" spans="2:3" x14ac:dyDescent="0.25">
      <c r="B27" s="7">
        <v>11000</v>
      </c>
      <c r="C27">
        <v>0</v>
      </c>
    </row>
    <row r="28" spans="2:3" x14ac:dyDescent="0.25">
      <c r="B28" s="7">
        <v>13001</v>
      </c>
      <c r="C28">
        <v>0</v>
      </c>
    </row>
    <row r="29" spans="2:3" x14ac:dyDescent="0.25">
      <c r="B29" s="7">
        <v>13002</v>
      </c>
      <c r="C29">
        <v>0</v>
      </c>
    </row>
    <row r="30" spans="2:3" x14ac:dyDescent="0.25">
      <c r="B30" s="7">
        <v>14001</v>
      </c>
      <c r="C30">
        <v>307.43585999999999</v>
      </c>
    </row>
    <row r="31" spans="2:3" x14ac:dyDescent="0.25">
      <c r="B31" s="7">
        <v>14002</v>
      </c>
      <c r="C31">
        <v>0</v>
      </c>
    </row>
    <row r="32" spans="2:3" x14ac:dyDescent="0.25">
      <c r="B32" s="7">
        <v>16001</v>
      </c>
      <c r="C32">
        <v>111.21602</v>
      </c>
    </row>
    <row r="33" spans="2:3" x14ac:dyDescent="0.25">
      <c r="B33" s="7">
        <v>16002</v>
      </c>
      <c r="C33">
        <v>0</v>
      </c>
    </row>
    <row r="34" spans="2:3" x14ac:dyDescent="0.25">
      <c r="B34" s="7">
        <v>17002</v>
      </c>
      <c r="C34">
        <v>0</v>
      </c>
    </row>
    <row r="35" spans="2:3" x14ac:dyDescent="0.25">
      <c r="B35" s="7">
        <v>18000</v>
      </c>
      <c r="C35">
        <v>0</v>
      </c>
    </row>
    <row r="36" spans="2:3" x14ac:dyDescent="0.25">
      <c r="B36" s="7">
        <v>22020</v>
      </c>
      <c r="C36">
        <v>0</v>
      </c>
    </row>
    <row r="37" spans="2:3" x14ac:dyDescent="0.25">
      <c r="B37" s="7">
        <v>23091</v>
      </c>
      <c r="C37">
        <v>0</v>
      </c>
    </row>
    <row r="38" spans="2:3" x14ac:dyDescent="0.25">
      <c r="B38" s="7">
        <v>23099</v>
      </c>
      <c r="C38">
        <v>111.04906</v>
      </c>
    </row>
    <row r="39" spans="2:3" x14ac:dyDescent="0.25">
      <c r="B39" s="7">
        <v>25001</v>
      </c>
      <c r="C39">
        <v>111.75048</v>
      </c>
    </row>
    <row r="40" spans="2:3" x14ac:dyDescent="0.25">
      <c r="B40" s="7">
        <v>25002</v>
      </c>
      <c r="C40">
        <v>0</v>
      </c>
    </row>
    <row r="41" spans="2:3" x14ac:dyDescent="0.25">
      <c r="B41" s="7">
        <v>26010</v>
      </c>
      <c r="C41">
        <v>0</v>
      </c>
    </row>
    <row r="42" spans="2:3" x14ac:dyDescent="0.25">
      <c r="B42" s="7">
        <v>31000</v>
      </c>
      <c r="C42">
        <v>317.57584000000003</v>
      </c>
    </row>
    <row r="43" spans="2:3" x14ac:dyDescent="0.25">
      <c r="B43" s="7">
        <v>32001</v>
      </c>
      <c r="C43">
        <v>0</v>
      </c>
    </row>
    <row r="44" spans="2:3" x14ac:dyDescent="0.25">
      <c r="B44" s="7">
        <v>32009</v>
      </c>
      <c r="C44">
        <v>0</v>
      </c>
    </row>
    <row r="45" spans="2:3" x14ac:dyDescent="0.25">
      <c r="B45" s="7">
        <v>33001</v>
      </c>
      <c r="C45">
        <v>123.74205000000001</v>
      </c>
    </row>
    <row r="46" spans="2:3" x14ac:dyDescent="0.25">
      <c r="B46" s="7">
        <v>33002</v>
      </c>
      <c r="C46">
        <v>0</v>
      </c>
    </row>
    <row r="47" spans="2:3" x14ac:dyDescent="0.25">
      <c r="B47" s="7">
        <v>35010</v>
      </c>
      <c r="C47">
        <v>1115.2123999999999</v>
      </c>
    </row>
    <row r="48" spans="2:3" x14ac:dyDescent="0.25">
      <c r="B48" s="7">
        <v>36000</v>
      </c>
      <c r="C48">
        <v>563.24828000000002</v>
      </c>
    </row>
    <row r="49" spans="2:3" x14ac:dyDescent="0.25">
      <c r="B49" s="7">
        <v>38000</v>
      </c>
      <c r="C49">
        <v>272.90419000000003</v>
      </c>
    </row>
    <row r="50" spans="2:3" x14ac:dyDescent="0.25">
      <c r="B50" s="7">
        <v>41000</v>
      </c>
      <c r="C50">
        <v>848.91614000000004</v>
      </c>
    </row>
    <row r="51" spans="2:3" x14ac:dyDescent="0.25">
      <c r="B51" s="7">
        <v>42000</v>
      </c>
      <c r="C51">
        <v>499.23694</v>
      </c>
    </row>
    <row r="52" spans="2:3" x14ac:dyDescent="0.25">
      <c r="B52" s="7">
        <v>43000</v>
      </c>
      <c r="C52">
        <v>220.77384000000001</v>
      </c>
    </row>
    <row r="53" spans="2:3" x14ac:dyDescent="0.25">
      <c r="B53" s="7">
        <v>45010</v>
      </c>
      <c r="C53">
        <v>527.84262999999999</v>
      </c>
    </row>
    <row r="54" spans="2:3" x14ac:dyDescent="0.25">
      <c r="B54" s="7">
        <v>45020</v>
      </c>
      <c r="C54">
        <v>301.91788000000003</v>
      </c>
    </row>
    <row r="55" spans="2:3" x14ac:dyDescent="0.25">
      <c r="B55" s="7">
        <v>45030</v>
      </c>
      <c r="C55">
        <v>115.42589</v>
      </c>
    </row>
    <row r="56" spans="2:3" x14ac:dyDescent="0.25">
      <c r="B56" s="7">
        <v>45040</v>
      </c>
      <c r="C56">
        <v>245.61908</v>
      </c>
    </row>
    <row r="57" spans="2:3" x14ac:dyDescent="0.25">
      <c r="B57" s="7">
        <v>48020</v>
      </c>
      <c r="C57">
        <v>75.785359999999997</v>
      </c>
    </row>
    <row r="58" spans="2:3" x14ac:dyDescent="0.25">
      <c r="B58" s="7">
        <v>48030</v>
      </c>
      <c r="C58">
        <v>1675.6816100000001</v>
      </c>
    </row>
    <row r="59" spans="2:3" x14ac:dyDescent="0.25">
      <c r="B59" s="7">
        <v>48041</v>
      </c>
      <c r="C59">
        <v>0</v>
      </c>
    </row>
    <row r="60" spans="2:3" x14ac:dyDescent="0.25">
      <c r="B60" s="7">
        <v>48042</v>
      </c>
      <c r="C60">
        <v>626.41634999999997</v>
      </c>
    </row>
    <row r="61" spans="2:3" x14ac:dyDescent="0.25">
      <c r="B61" s="7">
        <v>48050</v>
      </c>
      <c r="C61">
        <v>870.30820000000006</v>
      </c>
    </row>
    <row r="62" spans="2:3" x14ac:dyDescent="0.25">
      <c r="B62" s="7">
        <v>48060</v>
      </c>
      <c r="C62">
        <v>101.61784</v>
      </c>
    </row>
    <row r="63" spans="2:3" x14ac:dyDescent="0.25">
      <c r="B63" s="7">
        <v>48071</v>
      </c>
      <c r="C63">
        <v>266.31797</v>
      </c>
    </row>
    <row r="64" spans="2:3" x14ac:dyDescent="0.25">
      <c r="B64" s="7">
        <v>48072</v>
      </c>
      <c r="C64">
        <v>133.17749000000001</v>
      </c>
    </row>
    <row r="65" spans="2:3" x14ac:dyDescent="0.25">
      <c r="B65" s="7">
        <v>48073</v>
      </c>
      <c r="C65">
        <v>124.64587</v>
      </c>
    </row>
    <row r="66" spans="2:3" x14ac:dyDescent="0.25">
      <c r="B66" s="7">
        <v>48074</v>
      </c>
      <c r="C66">
        <v>181.20532</v>
      </c>
    </row>
    <row r="67" spans="2:3" x14ac:dyDescent="0.25">
      <c r="B67" s="7">
        <v>48075</v>
      </c>
      <c r="C67">
        <v>740.90480000000002</v>
      </c>
    </row>
    <row r="68" spans="2:3" x14ac:dyDescent="0.25">
      <c r="B68" s="7">
        <v>48076</v>
      </c>
      <c r="C68">
        <v>0</v>
      </c>
    </row>
    <row r="69" spans="2:3" x14ac:dyDescent="0.25">
      <c r="B69" s="7">
        <v>48078</v>
      </c>
      <c r="C69">
        <v>0</v>
      </c>
    </row>
    <row r="70" spans="2:3" x14ac:dyDescent="0.25">
      <c r="B70" s="7">
        <v>48079</v>
      </c>
      <c r="C70">
        <v>118.16434</v>
      </c>
    </row>
    <row r="71" spans="2:3" x14ac:dyDescent="0.25">
      <c r="B71" s="7">
        <v>48080</v>
      </c>
      <c r="C71">
        <v>996.87369000000001</v>
      </c>
    </row>
    <row r="72" spans="2:3" x14ac:dyDescent="0.25">
      <c r="B72" s="7">
        <v>48090</v>
      </c>
      <c r="C72">
        <v>0</v>
      </c>
    </row>
    <row r="73" spans="2:3" x14ac:dyDescent="0.25">
      <c r="B73" s="7">
        <v>48100</v>
      </c>
      <c r="C73">
        <v>281.99961000000002</v>
      </c>
    </row>
    <row r="74" spans="2:3" x14ac:dyDescent="0.25">
      <c r="B74" s="7">
        <v>49030</v>
      </c>
      <c r="C74">
        <v>246.91317000000001</v>
      </c>
    </row>
    <row r="75" spans="2:3" x14ac:dyDescent="0.25">
      <c r="B75" s="7">
        <v>49040</v>
      </c>
      <c r="C75">
        <v>471.46051999999997</v>
      </c>
    </row>
    <row r="76" spans="2:3" x14ac:dyDescent="0.25">
      <c r="B76" s="7">
        <v>51000</v>
      </c>
      <c r="C76">
        <v>0</v>
      </c>
    </row>
    <row r="77" spans="2:3" x14ac:dyDescent="0.25">
      <c r="B77" s="7">
        <v>52010</v>
      </c>
      <c r="C77">
        <v>0</v>
      </c>
    </row>
    <row r="78" spans="2:3" x14ac:dyDescent="0.25">
      <c r="B78" s="7">
        <v>52020</v>
      </c>
      <c r="C78">
        <v>107.80016999999999</v>
      </c>
    </row>
    <row r="79" spans="2:3" x14ac:dyDescent="0.25">
      <c r="B79" s="7">
        <v>53001</v>
      </c>
      <c r="C79">
        <v>28.039020000000001</v>
      </c>
    </row>
    <row r="80" spans="2:3" x14ac:dyDescent="0.25">
      <c r="B80" s="7">
        <v>53002</v>
      </c>
      <c r="C80">
        <v>0</v>
      </c>
    </row>
    <row r="81" spans="2:3" x14ac:dyDescent="0.25">
      <c r="B81" s="7">
        <v>55000</v>
      </c>
      <c r="C81">
        <v>403.54064</v>
      </c>
    </row>
    <row r="82" spans="2:3" x14ac:dyDescent="0.25">
      <c r="B82" s="7">
        <v>56011</v>
      </c>
      <c r="C82">
        <v>413.44600000000003</v>
      </c>
    </row>
    <row r="83" spans="2:3" x14ac:dyDescent="0.25">
      <c r="B83" s="7">
        <v>56012</v>
      </c>
      <c r="C83">
        <v>79.363640000000004</v>
      </c>
    </row>
    <row r="84" spans="2:3" x14ac:dyDescent="0.25">
      <c r="B84" s="7">
        <v>56020</v>
      </c>
      <c r="C84">
        <v>0</v>
      </c>
    </row>
    <row r="85" spans="2:3" x14ac:dyDescent="0.25">
      <c r="B85" s="7">
        <v>58000</v>
      </c>
      <c r="C85">
        <v>257.47397999999998</v>
      </c>
    </row>
    <row r="86" spans="2:3" x14ac:dyDescent="0.25">
      <c r="B86" s="7">
        <v>60001</v>
      </c>
      <c r="C86">
        <v>129.58938000000001</v>
      </c>
    </row>
    <row r="87" spans="2:3" x14ac:dyDescent="0.25">
      <c r="B87" s="7">
        <v>60002</v>
      </c>
      <c r="C87">
        <v>0</v>
      </c>
    </row>
    <row r="88" spans="2:3" x14ac:dyDescent="0.25">
      <c r="B88" s="7">
        <v>61000</v>
      </c>
      <c r="C88">
        <v>0</v>
      </c>
    </row>
    <row r="89" spans="2:3" x14ac:dyDescent="0.25">
      <c r="B89" s="7">
        <v>62000</v>
      </c>
      <c r="C89">
        <v>0</v>
      </c>
    </row>
    <row r="90" spans="2:3" x14ac:dyDescent="0.25">
      <c r="B90" s="7">
        <v>63000</v>
      </c>
      <c r="C90">
        <v>0</v>
      </c>
    </row>
    <row r="91" spans="2:3" x14ac:dyDescent="0.25">
      <c r="B91" s="7">
        <v>64000</v>
      </c>
      <c r="C91">
        <v>234.62388999999999</v>
      </c>
    </row>
    <row r="92" spans="2:3" x14ac:dyDescent="0.25">
      <c r="B92" s="7">
        <v>65000</v>
      </c>
      <c r="C92">
        <v>0</v>
      </c>
    </row>
    <row r="93" spans="2:3" x14ac:dyDescent="0.25">
      <c r="B93" s="7">
        <v>66002</v>
      </c>
      <c r="C93">
        <v>0</v>
      </c>
    </row>
    <row r="94" spans="2:3" x14ac:dyDescent="0.25">
      <c r="B94" s="7">
        <v>68000</v>
      </c>
      <c r="C94">
        <v>0</v>
      </c>
    </row>
    <row r="95" spans="2:3" x14ac:dyDescent="0.25">
      <c r="B95" s="7">
        <v>69000</v>
      </c>
      <c r="C95">
        <v>746.76570000000004</v>
      </c>
    </row>
    <row r="96" spans="2:3" x14ac:dyDescent="0.25">
      <c r="B96" s="7">
        <v>70000</v>
      </c>
      <c r="C96">
        <v>0</v>
      </c>
    </row>
    <row r="97" spans="2:3" x14ac:dyDescent="0.25">
      <c r="B97" s="7">
        <v>71000</v>
      </c>
      <c r="C97">
        <v>0</v>
      </c>
    </row>
    <row r="98" spans="2:3" x14ac:dyDescent="0.25">
      <c r="B98" s="7">
        <v>72000</v>
      </c>
      <c r="C98">
        <v>113.72676</v>
      </c>
    </row>
    <row r="99" spans="2:3" x14ac:dyDescent="0.25">
      <c r="B99" s="7">
        <v>73010</v>
      </c>
      <c r="C99">
        <v>222.54810000000001</v>
      </c>
    </row>
    <row r="100" spans="2:3" x14ac:dyDescent="0.25">
      <c r="B100" s="7">
        <v>74000</v>
      </c>
      <c r="C100">
        <v>0</v>
      </c>
    </row>
    <row r="101" spans="2:3" x14ac:dyDescent="0.25">
      <c r="B101" s="7">
        <v>75000</v>
      </c>
      <c r="C101">
        <v>0</v>
      </c>
    </row>
    <row r="102" spans="2:3" x14ac:dyDescent="0.25">
      <c r="B102" s="7">
        <v>77010</v>
      </c>
      <c r="C102">
        <v>94.667670000000001</v>
      </c>
    </row>
    <row r="103" spans="2:3" x14ac:dyDescent="0.25">
      <c r="B103" s="7">
        <v>78000</v>
      </c>
      <c r="C103">
        <v>4542.1899400000002</v>
      </c>
    </row>
    <row r="104" spans="2:3" x14ac:dyDescent="0.25">
      <c r="B104" s="7">
        <v>80000</v>
      </c>
      <c r="C104">
        <v>605.05620999999996</v>
      </c>
    </row>
    <row r="105" spans="2:3" x14ac:dyDescent="0.25">
      <c r="B105" s="7">
        <v>81011</v>
      </c>
      <c r="C105">
        <v>1661.5800400000001</v>
      </c>
    </row>
    <row r="106" spans="2:3" x14ac:dyDescent="0.25">
      <c r="B106" s="7">
        <v>81020</v>
      </c>
      <c r="C106">
        <v>0</v>
      </c>
    </row>
    <row r="107" spans="2:3" x14ac:dyDescent="0.25">
      <c r="B107" s="7">
        <v>82003</v>
      </c>
      <c r="C107">
        <v>0</v>
      </c>
    </row>
    <row r="108" spans="2:3" x14ac:dyDescent="0.25">
      <c r="B108" s="7">
        <v>82009</v>
      </c>
      <c r="C108">
        <v>131.52884</v>
      </c>
    </row>
    <row r="109" spans="2:3" x14ac:dyDescent="0.25">
      <c r="B109" s="7">
        <v>84011</v>
      </c>
      <c r="C109">
        <v>1187.02638</v>
      </c>
    </row>
    <row r="110" spans="2:3" x14ac:dyDescent="0.25">
      <c r="B110" s="7">
        <v>84012</v>
      </c>
      <c r="C110">
        <v>3047.1452800000002</v>
      </c>
    </row>
    <row r="111" spans="2:3" x14ac:dyDescent="0.25">
      <c r="B111" s="7">
        <v>84013</v>
      </c>
      <c r="C111">
        <v>924.56322999999998</v>
      </c>
    </row>
    <row r="112" spans="2:3" x14ac:dyDescent="0.25">
      <c r="B112" s="7">
        <v>84014</v>
      </c>
      <c r="C112">
        <v>1607.5821699999999</v>
      </c>
    </row>
    <row r="113" spans="2:3" x14ac:dyDescent="0.25">
      <c r="B113" s="7">
        <v>84015</v>
      </c>
      <c r="C113">
        <v>0</v>
      </c>
    </row>
    <row r="114" spans="2:3" x14ac:dyDescent="0.25">
      <c r="B114" s="7">
        <v>84016</v>
      </c>
      <c r="C114">
        <v>1665.73254</v>
      </c>
    </row>
    <row r="115" spans="2:3" x14ac:dyDescent="0.25">
      <c r="B115" s="7">
        <v>84017</v>
      </c>
      <c r="C115">
        <v>271.55216000000001</v>
      </c>
    </row>
    <row r="116" spans="2:3" x14ac:dyDescent="0.25">
      <c r="B116" s="7">
        <v>84020</v>
      </c>
      <c r="C116">
        <v>0</v>
      </c>
    </row>
    <row r="117" spans="2:3" x14ac:dyDescent="0.25">
      <c r="B117" s="7">
        <v>85011</v>
      </c>
      <c r="C117">
        <v>234.06443999999999</v>
      </c>
    </row>
    <row r="118" spans="2:3" x14ac:dyDescent="0.25">
      <c r="B118" s="7">
        <v>85012</v>
      </c>
      <c r="C118">
        <v>2986.0149000000001</v>
      </c>
    </row>
    <row r="119" spans="2:3" x14ac:dyDescent="0.25">
      <c r="B119" s="7">
        <v>85013</v>
      </c>
      <c r="C119">
        <v>1501.4650300000001</v>
      </c>
    </row>
    <row r="120" spans="2:3" x14ac:dyDescent="0.25">
      <c r="B120" s="7">
        <v>85014</v>
      </c>
      <c r="C120">
        <v>2207.306</v>
      </c>
    </row>
    <row r="121" spans="2:3" x14ac:dyDescent="0.25">
      <c r="B121" s="7">
        <v>85021</v>
      </c>
      <c r="C121">
        <v>0</v>
      </c>
    </row>
    <row r="122" spans="2:3" x14ac:dyDescent="0.25">
      <c r="B122" s="7">
        <v>85029</v>
      </c>
      <c r="C122">
        <v>350.36896999999999</v>
      </c>
    </row>
    <row r="123" spans="2:3" x14ac:dyDescent="0.25">
      <c r="B123" s="7">
        <v>86001</v>
      </c>
      <c r="C123">
        <v>1601.5633600000001</v>
      </c>
    </row>
    <row r="124" spans="2:3" x14ac:dyDescent="0.25">
      <c r="B124" s="7">
        <v>86002</v>
      </c>
      <c r="C124">
        <v>2352.3535099999999</v>
      </c>
    </row>
    <row r="125" spans="2:3" x14ac:dyDescent="0.25">
      <c r="B125" s="7">
        <v>86003</v>
      </c>
      <c r="C125">
        <v>86.542050000000003</v>
      </c>
    </row>
    <row r="126" spans="2:3" x14ac:dyDescent="0.25">
      <c r="B126" s="7">
        <v>86004</v>
      </c>
      <c r="C126">
        <v>233.72425000000001</v>
      </c>
    </row>
    <row r="127" spans="2:3" x14ac:dyDescent="0.25">
      <c r="B127" s="7">
        <v>86009</v>
      </c>
      <c r="C127">
        <v>0</v>
      </c>
    </row>
    <row r="128" spans="2:3" x14ac:dyDescent="0.25">
      <c r="B128" s="7">
        <v>87000</v>
      </c>
      <c r="C128">
        <v>224.12890999999999</v>
      </c>
    </row>
    <row r="129" spans="2:3" x14ac:dyDescent="0.25">
      <c r="B129" s="7">
        <v>88000</v>
      </c>
      <c r="C129">
        <v>276.01074999999997</v>
      </c>
    </row>
    <row r="130" spans="2:3" x14ac:dyDescent="0.25">
      <c r="B130" s="7">
        <v>90000</v>
      </c>
      <c r="C130">
        <v>0</v>
      </c>
    </row>
    <row r="131" spans="2:3" x14ac:dyDescent="0.25">
      <c r="B131" s="7">
        <v>93012</v>
      </c>
      <c r="C131">
        <v>492.39997</v>
      </c>
    </row>
    <row r="132" spans="2:3" x14ac:dyDescent="0.25">
      <c r="B132" s="7">
        <v>94010</v>
      </c>
      <c r="C132">
        <v>0</v>
      </c>
    </row>
    <row r="133" spans="2:3" x14ac:dyDescent="0.25">
      <c r="B133" s="7">
        <v>94020</v>
      </c>
      <c r="C133">
        <v>0</v>
      </c>
    </row>
    <row r="134" spans="2:3" x14ac:dyDescent="0.25">
      <c r="B134" s="7">
        <v>94091</v>
      </c>
      <c r="C134">
        <v>0</v>
      </c>
    </row>
    <row r="135" spans="2:3" x14ac:dyDescent="0.25">
      <c r="B135" s="7">
        <v>94099</v>
      </c>
      <c r="C135">
        <v>294.35259000000002</v>
      </c>
    </row>
    <row r="136" spans="2:3" x14ac:dyDescent="0.25">
      <c r="B136" s="7">
        <v>95010</v>
      </c>
      <c r="C136">
        <v>0</v>
      </c>
    </row>
    <row r="137" spans="2:3" x14ac:dyDescent="0.25">
      <c r="B137" s="7">
        <v>95030</v>
      </c>
      <c r="C137">
        <v>0</v>
      </c>
    </row>
    <row r="138" spans="2:3" x14ac:dyDescent="0.25">
      <c r="B138" s="7">
        <v>96020</v>
      </c>
      <c r="C138">
        <v>566.52795000000003</v>
      </c>
    </row>
    <row r="139" spans="2:3" x14ac:dyDescent="0.25">
      <c r="B139" s="7">
        <v>96090</v>
      </c>
      <c r="C139">
        <v>0</v>
      </c>
    </row>
    <row r="140" spans="2:3" x14ac:dyDescent="0.25">
      <c r="B140" s="8">
        <v>97000</v>
      </c>
      <c r="C140">
        <v>1410.0130899999999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1EB0-8B59-4655-A61F-1C2A43540A5B}">
  <dimension ref="B2:C140"/>
  <sheetViews>
    <sheetView showGridLines="0" topLeftCell="A117" workbookViewId="0">
      <selection activeCell="C2" sqref="C2:C140"/>
    </sheetView>
  </sheetViews>
  <sheetFormatPr defaultRowHeight="15" x14ac:dyDescent="0.25"/>
  <sheetData>
    <row r="2" spans="2:3" x14ac:dyDescent="0.25">
      <c r="B2" s="7">
        <v>1102</v>
      </c>
      <c r="C2">
        <v>111.77898999999999</v>
      </c>
    </row>
    <row r="3" spans="2:3" x14ac:dyDescent="0.25">
      <c r="B3" s="7">
        <v>1107</v>
      </c>
      <c r="C3">
        <v>157.65323000000001</v>
      </c>
    </row>
    <row r="4" spans="2:3" x14ac:dyDescent="0.25">
      <c r="B4" s="7">
        <v>1108</v>
      </c>
      <c r="C4">
        <v>0</v>
      </c>
    </row>
    <row r="5" spans="2:3" x14ac:dyDescent="0.25">
      <c r="B5" s="7">
        <v>1109</v>
      </c>
      <c r="C5">
        <v>0</v>
      </c>
    </row>
    <row r="6" spans="2:3" x14ac:dyDescent="0.25">
      <c r="B6" s="7">
        <v>1110</v>
      </c>
      <c r="C6">
        <v>0</v>
      </c>
    </row>
    <row r="7" spans="2:3" x14ac:dyDescent="0.25">
      <c r="B7" s="7">
        <v>1112</v>
      </c>
      <c r="C7">
        <v>0</v>
      </c>
    </row>
    <row r="8" spans="2:3" x14ac:dyDescent="0.25">
      <c r="B8" s="7">
        <v>1114</v>
      </c>
      <c r="C8">
        <v>0</v>
      </c>
    </row>
    <row r="9" spans="2:3" x14ac:dyDescent="0.25">
      <c r="B9" s="7">
        <v>1116</v>
      </c>
      <c r="C9">
        <v>0</v>
      </c>
    </row>
    <row r="10" spans="2:3" x14ac:dyDescent="0.25">
      <c r="B10" s="7">
        <v>1117</v>
      </c>
      <c r="C10">
        <v>377.54602</v>
      </c>
    </row>
    <row r="11" spans="2:3" x14ac:dyDescent="0.25">
      <c r="B11" s="7">
        <v>1201</v>
      </c>
      <c r="C11">
        <v>529.18862999999999</v>
      </c>
    </row>
    <row r="12" spans="2:3" x14ac:dyDescent="0.25">
      <c r="B12" s="7">
        <v>1202</v>
      </c>
      <c r="C12">
        <v>59.475050000000003</v>
      </c>
    </row>
    <row r="13" spans="2:3" x14ac:dyDescent="0.25">
      <c r="B13" s="7">
        <v>1204</v>
      </c>
      <c r="C13">
        <v>0</v>
      </c>
    </row>
    <row r="14" spans="2:3" x14ac:dyDescent="0.25">
      <c r="B14" s="7">
        <v>1205</v>
      </c>
      <c r="C14">
        <v>456.53278</v>
      </c>
    </row>
    <row r="15" spans="2:3" x14ac:dyDescent="0.25">
      <c r="B15" s="7">
        <v>1401</v>
      </c>
      <c r="C15">
        <v>0</v>
      </c>
    </row>
    <row r="16" spans="2:3" x14ac:dyDescent="0.25">
      <c r="B16" s="7">
        <v>1402</v>
      </c>
      <c r="C16">
        <v>0</v>
      </c>
    </row>
    <row r="17" spans="2:3" x14ac:dyDescent="0.25">
      <c r="B17" s="7">
        <v>2000</v>
      </c>
      <c r="C17">
        <v>101.5924</v>
      </c>
    </row>
    <row r="18" spans="2:3" x14ac:dyDescent="0.25">
      <c r="B18" s="7">
        <v>3001</v>
      </c>
      <c r="C18">
        <v>0</v>
      </c>
    </row>
    <row r="19" spans="2:3" x14ac:dyDescent="0.25">
      <c r="B19" s="7">
        <v>3002</v>
      </c>
      <c r="C19">
        <v>25.317119999999999</v>
      </c>
    </row>
    <row r="20" spans="2:3" x14ac:dyDescent="0.25">
      <c r="B20" s="7">
        <v>7001</v>
      </c>
      <c r="C20">
        <v>0</v>
      </c>
    </row>
    <row r="21" spans="2:3" x14ac:dyDescent="0.25">
      <c r="B21" s="7">
        <v>8001</v>
      </c>
      <c r="C21">
        <v>165.15074000000001</v>
      </c>
    </row>
    <row r="22" spans="2:3" x14ac:dyDescent="0.25">
      <c r="B22" s="7">
        <v>10010</v>
      </c>
      <c r="C22">
        <v>673.71550000000002</v>
      </c>
    </row>
    <row r="23" spans="2:3" x14ac:dyDescent="0.25">
      <c r="B23" s="7">
        <v>10022</v>
      </c>
      <c r="C23">
        <v>577.73635000000002</v>
      </c>
    </row>
    <row r="24" spans="2:3" x14ac:dyDescent="0.25">
      <c r="B24" s="7">
        <v>10030</v>
      </c>
      <c r="C24">
        <v>0</v>
      </c>
    </row>
    <row r="25" spans="2:3" x14ac:dyDescent="0.25">
      <c r="B25" s="7">
        <v>10091</v>
      </c>
      <c r="C25">
        <v>0</v>
      </c>
    </row>
    <row r="26" spans="2:3" x14ac:dyDescent="0.25">
      <c r="B26" s="7">
        <v>10099</v>
      </c>
      <c r="C26">
        <v>0</v>
      </c>
    </row>
    <row r="27" spans="2:3" x14ac:dyDescent="0.25">
      <c r="B27" s="7">
        <v>11000</v>
      </c>
      <c r="C27">
        <v>132.41460000000001</v>
      </c>
    </row>
    <row r="28" spans="2:3" x14ac:dyDescent="0.25">
      <c r="B28" s="7">
        <v>13001</v>
      </c>
      <c r="C28">
        <v>0</v>
      </c>
    </row>
    <row r="29" spans="2:3" x14ac:dyDescent="0.25">
      <c r="B29" s="7">
        <v>13002</v>
      </c>
      <c r="C29">
        <v>0</v>
      </c>
    </row>
    <row r="30" spans="2:3" x14ac:dyDescent="0.25">
      <c r="B30" s="7">
        <v>14001</v>
      </c>
      <c r="C30">
        <v>0</v>
      </c>
    </row>
    <row r="31" spans="2:3" x14ac:dyDescent="0.25">
      <c r="B31" s="7">
        <v>14002</v>
      </c>
      <c r="C31">
        <v>0</v>
      </c>
    </row>
    <row r="32" spans="2:3" x14ac:dyDescent="0.25">
      <c r="B32" s="7">
        <v>16001</v>
      </c>
      <c r="C32">
        <v>0</v>
      </c>
    </row>
    <row r="33" spans="2:3" x14ac:dyDescent="0.25">
      <c r="B33" s="7">
        <v>16002</v>
      </c>
      <c r="C33">
        <v>0</v>
      </c>
    </row>
    <row r="34" spans="2:3" x14ac:dyDescent="0.25">
      <c r="B34" s="7">
        <v>17002</v>
      </c>
      <c r="C34">
        <v>0</v>
      </c>
    </row>
    <row r="35" spans="2:3" x14ac:dyDescent="0.25">
      <c r="B35" s="7">
        <v>18000</v>
      </c>
      <c r="C35">
        <v>198.67811</v>
      </c>
    </row>
    <row r="36" spans="2:3" x14ac:dyDescent="0.25">
      <c r="B36" s="7">
        <v>22020</v>
      </c>
      <c r="C36">
        <v>0</v>
      </c>
    </row>
    <row r="37" spans="2:3" x14ac:dyDescent="0.25">
      <c r="B37" s="7">
        <v>23091</v>
      </c>
      <c r="C37">
        <v>77.17577</v>
      </c>
    </row>
    <row r="38" spans="2:3" x14ac:dyDescent="0.25">
      <c r="B38" s="7">
        <v>23099</v>
      </c>
      <c r="C38">
        <v>214.47619</v>
      </c>
    </row>
    <row r="39" spans="2:3" x14ac:dyDescent="0.25">
      <c r="B39" s="7">
        <v>25001</v>
      </c>
      <c r="C39">
        <v>893.08339000000001</v>
      </c>
    </row>
    <row r="40" spans="2:3" x14ac:dyDescent="0.25">
      <c r="B40" s="7">
        <v>25002</v>
      </c>
      <c r="C40">
        <v>0</v>
      </c>
    </row>
    <row r="41" spans="2:3" x14ac:dyDescent="0.25">
      <c r="B41" s="7">
        <v>26010</v>
      </c>
      <c r="C41">
        <v>0</v>
      </c>
    </row>
    <row r="42" spans="2:3" x14ac:dyDescent="0.25">
      <c r="B42" s="7">
        <v>31000</v>
      </c>
      <c r="C42">
        <v>413.27032000000003</v>
      </c>
    </row>
    <row r="43" spans="2:3" x14ac:dyDescent="0.25">
      <c r="B43" s="7">
        <v>32001</v>
      </c>
      <c r="C43">
        <v>0</v>
      </c>
    </row>
    <row r="44" spans="2:3" x14ac:dyDescent="0.25">
      <c r="B44" s="7">
        <v>32009</v>
      </c>
      <c r="C44">
        <v>0</v>
      </c>
    </row>
    <row r="45" spans="2:3" x14ac:dyDescent="0.25">
      <c r="B45" s="7">
        <v>33001</v>
      </c>
      <c r="C45">
        <v>93.197029999999998</v>
      </c>
    </row>
    <row r="46" spans="2:3" x14ac:dyDescent="0.25">
      <c r="B46" s="7">
        <v>33002</v>
      </c>
      <c r="C46">
        <v>0</v>
      </c>
    </row>
    <row r="47" spans="2:3" x14ac:dyDescent="0.25">
      <c r="B47" s="7">
        <v>35010</v>
      </c>
      <c r="C47">
        <v>683.82435999999996</v>
      </c>
    </row>
    <row r="48" spans="2:3" x14ac:dyDescent="0.25">
      <c r="B48" s="7">
        <v>36000</v>
      </c>
      <c r="C48">
        <v>0</v>
      </c>
    </row>
    <row r="49" spans="2:3" x14ac:dyDescent="0.25">
      <c r="B49" s="7">
        <v>38000</v>
      </c>
      <c r="C49">
        <v>144.62298999999999</v>
      </c>
    </row>
    <row r="50" spans="2:3" x14ac:dyDescent="0.25">
      <c r="B50" s="7">
        <v>41000</v>
      </c>
      <c r="C50">
        <v>1387.0390199999999</v>
      </c>
    </row>
    <row r="51" spans="2:3" x14ac:dyDescent="0.25">
      <c r="B51" s="7">
        <v>42000</v>
      </c>
      <c r="C51">
        <v>1164.84761</v>
      </c>
    </row>
    <row r="52" spans="2:3" x14ac:dyDescent="0.25">
      <c r="B52" s="7">
        <v>43000</v>
      </c>
      <c r="C52">
        <v>901.77491999999995</v>
      </c>
    </row>
    <row r="53" spans="2:3" x14ac:dyDescent="0.25">
      <c r="B53" s="7">
        <v>45010</v>
      </c>
      <c r="C53">
        <v>1094.6033299999999</v>
      </c>
    </row>
    <row r="54" spans="2:3" x14ac:dyDescent="0.25">
      <c r="B54" s="7">
        <v>45020</v>
      </c>
      <c r="C54">
        <v>836.48030000000006</v>
      </c>
    </row>
    <row r="55" spans="2:3" x14ac:dyDescent="0.25">
      <c r="B55" s="7">
        <v>45030</v>
      </c>
      <c r="C55">
        <v>625.34258999999997</v>
      </c>
    </row>
    <row r="56" spans="2:3" x14ac:dyDescent="0.25">
      <c r="B56" s="7">
        <v>45040</v>
      </c>
      <c r="C56">
        <v>377.88427999999999</v>
      </c>
    </row>
    <row r="57" spans="2:3" x14ac:dyDescent="0.25">
      <c r="B57" s="7">
        <v>48020</v>
      </c>
      <c r="C57">
        <v>521.27153999999996</v>
      </c>
    </row>
    <row r="58" spans="2:3" x14ac:dyDescent="0.25">
      <c r="B58" s="7">
        <v>48030</v>
      </c>
      <c r="C58">
        <v>4249.0488599999999</v>
      </c>
    </row>
    <row r="59" spans="2:3" x14ac:dyDescent="0.25">
      <c r="B59" s="7">
        <v>48041</v>
      </c>
      <c r="C59">
        <v>77.920699999999997</v>
      </c>
    </row>
    <row r="60" spans="2:3" x14ac:dyDescent="0.25">
      <c r="B60" s="7">
        <v>48042</v>
      </c>
      <c r="C60">
        <v>3070.7931699999999</v>
      </c>
    </row>
    <row r="61" spans="2:3" x14ac:dyDescent="0.25">
      <c r="B61" s="7">
        <v>48050</v>
      </c>
      <c r="C61">
        <v>2757.8210800000002</v>
      </c>
    </row>
    <row r="62" spans="2:3" x14ac:dyDescent="0.25">
      <c r="B62" s="7">
        <v>48060</v>
      </c>
      <c r="C62">
        <v>1478.90705</v>
      </c>
    </row>
    <row r="63" spans="2:3" x14ac:dyDescent="0.25">
      <c r="B63" s="7">
        <v>48071</v>
      </c>
      <c r="C63">
        <v>2115.7701900000002</v>
      </c>
    </row>
    <row r="64" spans="2:3" x14ac:dyDescent="0.25">
      <c r="B64" s="7">
        <v>48072</v>
      </c>
      <c r="C64">
        <v>199.43119999999999</v>
      </c>
    </row>
    <row r="65" spans="2:3" x14ac:dyDescent="0.25">
      <c r="B65" s="7">
        <v>48073</v>
      </c>
      <c r="C65">
        <v>1341.44805</v>
      </c>
    </row>
    <row r="66" spans="2:3" x14ac:dyDescent="0.25">
      <c r="B66" s="7">
        <v>48074</v>
      </c>
      <c r="C66">
        <v>270.41870999999998</v>
      </c>
    </row>
    <row r="67" spans="2:3" x14ac:dyDescent="0.25">
      <c r="B67" s="7">
        <v>48075</v>
      </c>
      <c r="C67">
        <v>547.96906999999999</v>
      </c>
    </row>
    <row r="68" spans="2:3" x14ac:dyDescent="0.25">
      <c r="B68" s="7">
        <v>48076</v>
      </c>
      <c r="C68">
        <v>57.225499999999997</v>
      </c>
    </row>
    <row r="69" spans="2:3" x14ac:dyDescent="0.25">
      <c r="B69" s="7">
        <v>48078</v>
      </c>
      <c r="C69">
        <v>150.08391</v>
      </c>
    </row>
    <row r="70" spans="2:3" x14ac:dyDescent="0.25">
      <c r="B70" s="7">
        <v>48079</v>
      </c>
      <c r="C70">
        <v>633.04776000000004</v>
      </c>
    </row>
    <row r="71" spans="2:3" x14ac:dyDescent="0.25">
      <c r="B71" s="7">
        <v>48080</v>
      </c>
      <c r="C71">
        <v>6505.5838000000003</v>
      </c>
    </row>
    <row r="72" spans="2:3" x14ac:dyDescent="0.25">
      <c r="B72" s="7">
        <v>48090</v>
      </c>
      <c r="C72">
        <v>146.22239999999999</v>
      </c>
    </row>
    <row r="73" spans="2:3" x14ac:dyDescent="0.25">
      <c r="B73" s="7">
        <v>48100</v>
      </c>
      <c r="C73">
        <v>0</v>
      </c>
    </row>
    <row r="74" spans="2:3" x14ac:dyDescent="0.25">
      <c r="B74" s="7">
        <v>49030</v>
      </c>
      <c r="C74">
        <v>363.78230000000002</v>
      </c>
    </row>
    <row r="75" spans="2:3" x14ac:dyDescent="0.25">
      <c r="B75" s="7">
        <v>49040</v>
      </c>
      <c r="C75">
        <v>1307.18226</v>
      </c>
    </row>
    <row r="76" spans="2:3" x14ac:dyDescent="0.25">
      <c r="B76" s="7">
        <v>51000</v>
      </c>
      <c r="C76">
        <v>185.96782999999999</v>
      </c>
    </row>
    <row r="77" spans="2:3" x14ac:dyDescent="0.25">
      <c r="B77" s="7">
        <v>52010</v>
      </c>
      <c r="C77">
        <v>0</v>
      </c>
    </row>
    <row r="78" spans="2:3" x14ac:dyDescent="0.25">
      <c r="B78" s="7">
        <v>52020</v>
      </c>
      <c r="C78">
        <v>0</v>
      </c>
    </row>
    <row r="79" spans="2:3" x14ac:dyDescent="0.25">
      <c r="B79" s="7">
        <v>53001</v>
      </c>
      <c r="C79">
        <v>0</v>
      </c>
    </row>
    <row r="80" spans="2:3" x14ac:dyDescent="0.25">
      <c r="B80" s="7">
        <v>53002</v>
      </c>
      <c r="C80">
        <v>0</v>
      </c>
    </row>
    <row r="81" spans="2:3" x14ac:dyDescent="0.25">
      <c r="B81" s="7">
        <v>55000</v>
      </c>
      <c r="C81">
        <v>228.73952</v>
      </c>
    </row>
    <row r="82" spans="2:3" x14ac:dyDescent="0.25">
      <c r="B82" s="7">
        <v>56011</v>
      </c>
      <c r="C82">
        <v>3862.1446700000001</v>
      </c>
    </row>
    <row r="83" spans="2:3" x14ac:dyDescent="0.25">
      <c r="B83" s="7">
        <v>56012</v>
      </c>
      <c r="C83">
        <v>907.44057999999995</v>
      </c>
    </row>
    <row r="84" spans="2:3" x14ac:dyDescent="0.25">
      <c r="B84" s="7">
        <v>56020</v>
      </c>
      <c r="C84">
        <v>0</v>
      </c>
    </row>
    <row r="85" spans="2:3" x14ac:dyDescent="0.25">
      <c r="B85" s="7">
        <v>58000</v>
      </c>
      <c r="C85">
        <v>0</v>
      </c>
    </row>
    <row r="86" spans="2:3" x14ac:dyDescent="0.25">
      <c r="B86" s="7">
        <v>60001</v>
      </c>
      <c r="C86">
        <v>117.30449</v>
      </c>
    </row>
    <row r="87" spans="2:3" x14ac:dyDescent="0.25">
      <c r="B87" s="7">
        <v>60002</v>
      </c>
      <c r="C87">
        <v>0</v>
      </c>
    </row>
    <row r="88" spans="2:3" x14ac:dyDescent="0.25">
      <c r="B88" s="7">
        <v>61000</v>
      </c>
      <c r="C88">
        <v>0</v>
      </c>
    </row>
    <row r="89" spans="2:3" x14ac:dyDescent="0.25">
      <c r="B89" s="7">
        <v>62000</v>
      </c>
      <c r="C89">
        <v>161.44310999999999</v>
      </c>
    </row>
    <row r="90" spans="2:3" x14ac:dyDescent="0.25">
      <c r="B90" s="7">
        <v>63000</v>
      </c>
      <c r="C90">
        <v>0</v>
      </c>
    </row>
    <row r="91" spans="2:3" x14ac:dyDescent="0.25">
      <c r="B91" s="7">
        <v>64000</v>
      </c>
      <c r="C91">
        <v>119.45572</v>
      </c>
    </row>
    <row r="92" spans="2:3" x14ac:dyDescent="0.25">
      <c r="B92" s="7">
        <v>65000</v>
      </c>
      <c r="C92">
        <v>119.95062</v>
      </c>
    </row>
    <row r="93" spans="2:3" x14ac:dyDescent="0.25">
      <c r="B93" s="7">
        <v>66002</v>
      </c>
      <c r="C93">
        <v>0</v>
      </c>
    </row>
    <row r="94" spans="2:3" x14ac:dyDescent="0.25">
      <c r="B94" s="7">
        <v>68000</v>
      </c>
      <c r="C94">
        <v>514.74342000000001</v>
      </c>
    </row>
    <row r="95" spans="2:3" x14ac:dyDescent="0.25">
      <c r="B95" s="7">
        <v>69000</v>
      </c>
      <c r="C95">
        <v>1334.38093</v>
      </c>
    </row>
    <row r="96" spans="2:3" x14ac:dyDescent="0.25">
      <c r="B96" s="7">
        <v>70000</v>
      </c>
      <c r="C96">
        <v>0</v>
      </c>
    </row>
    <row r="97" spans="2:3" x14ac:dyDescent="0.25">
      <c r="B97" s="7">
        <v>71000</v>
      </c>
      <c r="C97">
        <v>177.02880999999999</v>
      </c>
    </row>
    <row r="98" spans="2:3" x14ac:dyDescent="0.25">
      <c r="B98" s="7">
        <v>72000</v>
      </c>
      <c r="C98">
        <v>0</v>
      </c>
    </row>
    <row r="99" spans="2:3" x14ac:dyDescent="0.25">
      <c r="B99" s="7">
        <v>73010</v>
      </c>
      <c r="C99">
        <v>210.27394000000001</v>
      </c>
    </row>
    <row r="100" spans="2:3" x14ac:dyDescent="0.25">
      <c r="B100" s="7">
        <v>74000</v>
      </c>
      <c r="C100">
        <v>235.39707000000001</v>
      </c>
    </row>
    <row r="101" spans="2:3" x14ac:dyDescent="0.25">
      <c r="B101" s="7">
        <v>75000</v>
      </c>
      <c r="C101">
        <v>171.79258999999999</v>
      </c>
    </row>
    <row r="102" spans="2:3" x14ac:dyDescent="0.25">
      <c r="B102" s="7">
        <v>77010</v>
      </c>
      <c r="C102">
        <v>0</v>
      </c>
    </row>
    <row r="103" spans="2:3" x14ac:dyDescent="0.25">
      <c r="B103" s="7">
        <v>78000</v>
      </c>
      <c r="C103">
        <v>1778.65572</v>
      </c>
    </row>
    <row r="104" spans="2:3" x14ac:dyDescent="0.25">
      <c r="B104" s="7">
        <v>80000</v>
      </c>
      <c r="C104">
        <v>387.40823999999998</v>
      </c>
    </row>
    <row r="105" spans="2:3" x14ac:dyDescent="0.25">
      <c r="B105" s="7">
        <v>81011</v>
      </c>
      <c r="C105">
        <v>1461.8083799999999</v>
      </c>
    </row>
    <row r="106" spans="2:3" x14ac:dyDescent="0.25">
      <c r="B106" s="7">
        <v>81020</v>
      </c>
      <c r="C106">
        <v>0</v>
      </c>
    </row>
    <row r="107" spans="2:3" x14ac:dyDescent="0.25">
      <c r="B107" s="7">
        <v>82003</v>
      </c>
      <c r="C107">
        <v>282.1694</v>
      </c>
    </row>
    <row r="108" spans="2:3" x14ac:dyDescent="0.25">
      <c r="B108" s="7">
        <v>82009</v>
      </c>
      <c r="C108">
        <v>91.612729999999999</v>
      </c>
    </row>
    <row r="109" spans="2:3" x14ac:dyDescent="0.25">
      <c r="B109" s="7">
        <v>84011</v>
      </c>
      <c r="C109">
        <v>70.203569999999999</v>
      </c>
    </row>
    <row r="110" spans="2:3" x14ac:dyDescent="0.25">
      <c r="B110" s="7">
        <v>84012</v>
      </c>
      <c r="C110">
        <v>508.09210999999999</v>
      </c>
    </row>
    <row r="111" spans="2:3" x14ac:dyDescent="0.25">
      <c r="B111" s="7">
        <v>84013</v>
      </c>
      <c r="C111">
        <v>196.29714000000001</v>
      </c>
    </row>
    <row r="112" spans="2:3" x14ac:dyDescent="0.25">
      <c r="B112" s="7">
        <v>84014</v>
      </c>
      <c r="C112">
        <v>2954.99586</v>
      </c>
    </row>
    <row r="113" spans="2:3" x14ac:dyDescent="0.25">
      <c r="B113" s="7">
        <v>84015</v>
      </c>
      <c r="C113">
        <v>0</v>
      </c>
    </row>
    <row r="114" spans="2:3" x14ac:dyDescent="0.25">
      <c r="B114" s="7">
        <v>84016</v>
      </c>
      <c r="C114">
        <v>2881.9308900000001</v>
      </c>
    </row>
    <row r="115" spans="2:3" x14ac:dyDescent="0.25">
      <c r="B115" s="7">
        <v>84017</v>
      </c>
      <c r="C115">
        <v>115.66919</v>
      </c>
    </row>
    <row r="116" spans="2:3" x14ac:dyDescent="0.25">
      <c r="B116" s="7">
        <v>84020</v>
      </c>
      <c r="C116">
        <v>0</v>
      </c>
    </row>
    <row r="117" spans="2:3" x14ac:dyDescent="0.25">
      <c r="B117" s="7">
        <v>85011</v>
      </c>
      <c r="C117">
        <v>0</v>
      </c>
    </row>
    <row r="118" spans="2:3" x14ac:dyDescent="0.25">
      <c r="B118" s="7">
        <v>85012</v>
      </c>
      <c r="C118">
        <v>1773.9329600000001</v>
      </c>
    </row>
    <row r="119" spans="2:3" x14ac:dyDescent="0.25">
      <c r="B119" s="7">
        <v>85013</v>
      </c>
      <c r="C119">
        <v>483.18245999999999</v>
      </c>
    </row>
    <row r="120" spans="2:3" x14ac:dyDescent="0.25">
      <c r="B120" s="7">
        <v>85014</v>
      </c>
      <c r="C120">
        <v>199.20218</v>
      </c>
    </row>
    <row r="121" spans="2:3" x14ac:dyDescent="0.25">
      <c r="B121" s="7">
        <v>85021</v>
      </c>
      <c r="C121">
        <v>0</v>
      </c>
    </row>
    <row r="122" spans="2:3" x14ac:dyDescent="0.25">
      <c r="B122" s="7">
        <v>85029</v>
      </c>
      <c r="C122">
        <v>417.96132</v>
      </c>
    </row>
    <row r="123" spans="2:3" x14ac:dyDescent="0.25">
      <c r="B123" s="7">
        <v>86001</v>
      </c>
      <c r="C123">
        <v>1863.0445</v>
      </c>
    </row>
    <row r="124" spans="2:3" x14ac:dyDescent="0.25">
      <c r="B124" s="7">
        <v>86002</v>
      </c>
      <c r="C124">
        <v>1472.4023299999999</v>
      </c>
    </row>
    <row r="125" spans="2:3" x14ac:dyDescent="0.25">
      <c r="B125" s="7">
        <v>86003</v>
      </c>
      <c r="C125">
        <v>274.16072000000003</v>
      </c>
    </row>
    <row r="126" spans="2:3" x14ac:dyDescent="0.25">
      <c r="B126" s="7">
        <v>86004</v>
      </c>
      <c r="C126">
        <v>148.38499999999999</v>
      </c>
    </row>
    <row r="127" spans="2:3" x14ac:dyDescent="0.25">
      <c r="B127" s="7">
        <v>86009</v>
      </c>
      <c r="C127">
        <v>0</v>
      </c>
    </row>
    <row r="128" spans="2:3" x14ac:dyDescent="0.25">
      <c r="B128" s="7">
        <v>87000</v>
      </c>
      <c r="C128">
        <v>0</v>
      </c>
    </row>
    <row r="129" spans="2:3" x14ac:dyDescent="0.25">
      <c r="B129" s="7">
        <v>88000</v>
      </c>
      <c r="C129">
        <v>0</v>
      </c>
    </row>
    <row r="130" spans="2:3" x14ac:dyDescent="0.25">
      <c r="B130" s="7">
        <v>90000</v>
      </c>
      <c r="C130">
        <v>0</v>
      </c>
    </row>
    <row r="131" spans="2:3" x14ac:dyDescent="0.25">
      <c r="B131" s="7">
        <v>93012</v>
      </c>
      <c r="C131">
        <v>173.96951000000001</v>
      </c>
    </row>
    <row r="132" spans="2:3" x14ac:dyDescent="0.25">
      <c r="B132" s="7">
        <v>94010</v>
      </c>
      <c r="C132">
        <v>0</v>
      </c>
    </row>
    <row r="133" spans="2:3" x14ac:dyDescent="0.25">
      <c r="B133" s="7">
        <v>94020</v>
      </c>
      <c r="C133">
        <v>0</v>
      </c>
    </row>
    <row r="134" spans="2:3" x14ac:dyDescent="0.25">
      <c r="B134" s="7">
        <v>94091</v>
      </c>
      <c r="C134">
        <v>177.31204</v>
      </c>
    </row>
    <row r="135" spans="2:3" x14ac:dyDescent="0.25">
      <c r="B135" s="7">
        <v>94099</v>
      </c>
      <c r="C135">
        <v>0</v>
      </c>
    </row>
    <row r="136" spans="2:3" x14ac:dyDescent="0.25">
      <c r="B136" s="7">
        <v>95010</v>
      </c>
      <c r="C136">
        <v>149.64709999999999</v>
      </c>
    </row>
    <row r="137" spans="2:3" x14ac:dyDescent="0.25">
      <c r="B137" s="7">
        <v>95030</v>
      </c>
      <c r="C137">
        <v>145.82275000000001</v>
      </c>
    </row>
    <row r="138" spans="2:3" x14ac:dyDescent="0.25">
      <c r="B138" s="7">
        <v>96020</v>
      </c>
      <c r="C138">
        <v>160.62234000000001</v>
      </c>
    </row>
    <row r="139" spans="2:3" x14ac:dyDescent="0.25">
      <c r="B139" s="7">
        <v>96090</v>
      </c>
      <c r="C139">
        <v>0</v>
      </c>
    </row>
    <row r="140" spans="2:3" x14ac:dyDescent="0.25">
      <c r="B140" s="8">
        <v>97000</v>
      </c>
      <c r="C140">
        <v>1432.3245999999999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Inicias - Formais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Cesar de Lima e Silva</dc:creator>
  <cp:lastModifiedBy>Yuri Cesar de Lima e Silva</cp:lastModifiedBy>
  <dcterms:created xsi:type="dcterms:W3CDTF">2026-02-18T00:28:00Z</dcterms:created>
  <dcterms:modified xsi:type="dcterms:W3CDTF">2026-02-19T15:16:44Z</dcterms:modified>
</cp:coreProperties>
</file>