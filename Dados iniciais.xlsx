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aa41c3e9384a9d/Trabalho - SEPLAN RR/DIEAS/Escala 6x1/"/>
    </mc:Choice>
  </mc:AlternateContent>
  <xr:revisionPtr revIDLastSave="4" documentId="8_{2CE57DEF-1337-4836-B293-37EBAD61EAC2}" xr6:coauthVersionLast="47" xr6:coauthVersionMax="47" xr10:uidLastSave="{66A18F64-0A64-413A-914C-A184086AAD29}"/>
  <bookViews>
    <workbookView xWindow="-108" yWindow="-108" windowWidth="23256" windowHeight="12456" xr2:uid="{CA16EA8E-D0B8-4EC7-ACF1-1511DB5BF2CE}"/>
  </bookViews>
  <sheets>
    <sheet name="Dados iniciais" sheetId="2" r:id="rId1"/>
    <sheet name="Planilha1" sheetId="1" r:id="rId2"/>
    <sheet name="Planilha3" sheetId="3" r:id="rId3"/>
    <sheet name="Planilha4" sheetId="4" r:id="rId4"/>
  </sheets>
  <definedNames>
    <definedName name="_xlnm._FilterDatabase" localSheetId="0" hidden="1">'Dados iniciais'!$A$2:$F$2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2" l="1"/>
  <c r="G57" i="2"/>
  <c r="G66" i="2"/>
  <c r="G82" i="2"/>
  <c r="G91" i="2"/>
  <c r="G114" i="2"/>
  <c r="G123" i="2"/>
  <c r="G139" i="2"/>
  <c r="F68" i="2"/>
  <c r="G4" i="2" s="1"/>
  <c r="F58" i="2"/>
  <c r="F63" i="2"/>
  <c r="F83" i="2"/>
  <c r="G83" i="2" s="1"/>
  <c r="F113" i="2"/>
  <c r="F114" i="2"/>
  <c r="F27" i="2"/>
  <c r="G117" i="2" s="1"/>
  <c r="F44" i="2"/>
  <c r="F11" i="2"/>
  <c r="F109" i="2"/>
  <c r="F90" i="2"/>
  <c r="F53" i="2"/>
  <c r="F76" i="2"/>
  <c r="F112" i="2"/>
  <c r="F48" i="2"/>
  <c r="F56" i="2"/>
  <c r="F111" i="2"/>
  <c r="G20" i="2" s="1"/>
  <c r="F43" i="2"/>
  <c r="F86" i="2"/>
  <c r="F42" i="2"/>
  <c r="F46" i="2"/>
  <c r="F115" i="2"/>
  <c r="F96" i="2"/>
  <c r="F116" i="2"/>
  <c r="F93" i="2"/>
  <c r="G28" i="2" s="1"/>
  <c r="F117" i="2"/>
  <c r="F100" i="2"/>
  <c r="F118" i="2"/>
  <c r="F73" i="2"/>
  <c r="F99" i="2"/>
  <c r="F70" i="2"/>
  <c r="F119" i="2"/>
  <c r="F80" i="2"/>
  <c r="G36" i="2" s="1"/>
  <c r="F120" i="2"/>
  <c r="F60" i="2"/>
  <c r="F77" i="2"/>
  <c r="F33" i="2"/>
  <c r="F106" i="2"/>
  <c r="F121" i="2"/>
  <c r="F32" i="2"/>
  <c r="F122" i="2"/>
  <c r="G44" i="2" s="1"/>
  <c r="F123" i="2"/>
  <c r="F102" i="2"/>
  <c r="F101" i="2"/>
  <c r="F41" i="2"/>
  <c r="F124" i="2"/>
  <c r="F74" i="2"/>
  <c r="F6" i="2"/>
  <c r="F30" i="2"/>
  <c r="G52" i="2" s="1"/>
  <c r="F16" i="2"/>
  <c r="F28" i="2"/>
  <c r="F8" i="2"/>
  <c r="F39" i="2"/>
  <c r="F36" i="2"/>
  <c r="F52" i="2"/>
  <c r="F4" i="2"/>
  <c r="F107" i="2"/>
  <c r="F7" i="2"/>
  <c r="F10" i="2"/>
  <c r="F26" i="2"/>
  <c r="F12" i="2"/>
  <c r="F57" i="2"/>
  <c r="F23" i="2"/>
  <c r="G121" i="2" s="1"/>
  <c r="F40" i="2"/>
  <c r="F49" i="2"/>
  <c r="G68" i="2" s="1"/>
  <c r="F51" i="2"/>
  <c r="F88" i="2"/>
  <c r="F35" i="2"/>
  <c r="G109" i="2" s="1"/>
  <c r="F3" i="2"/>
  <c r="F91" i="2"/>
  <c r="F69" i="2"/>
  <c r="F9" i="2"/>
  <c r="G9" i="2" s="1"/>
  <c r="F18" i="2"/>
  <c r="G76" i="2" s="1"/>
  <c r="F82" i="2"/>
  <c r="F125" i="2"/>
  <c r="F62" i="2"/>
  <c r="F126" i="2"/>
  <c r="F127" i="2"/>
  <c r="F75" i="2"/>
  <c r="G69" i="2" s="1"/>
  <c r="F5" i="2"/>
  <c r="F31" i="2"/>
  <c r="F37" i="2"/>
  <c r="F128" i="2"/>
  <c r="F97" i="2"/>
  <c r="G97" i="2" s="1"/>
  <c r="F129" i="2"/>
  <c r="G88" i="2" s="1"/>
  <c r="F92" i="2"/>
  <c r="F55" i="2"/>
  <c r="G89" i="2" s="1"/>
  <c r="F130" i="2"/>
  <c r="G130" i="2" s="1"/>
  <c r="F67" i="2"/>
  <c r="G92" i="2" s="1"/>
  <c r="F95" i="2"/>
  <c r="F131" i="2"/>
  <c r="F47" i="2"/>
  <c r="F20" i="2"/>
  <c r="F65" i="2"/>
  <c r="G65" i="2" s="1"/>
  <c r="F81" i="2"/>
  <c r="G81" i="2" s="1"/>
  <c r="F132" i="2"/>
  <c r="F78" i="2"/>
  <c r="G100" i="2" s="1"/>
  <c r="F66" i="2"/>
  <c r="F85" i="2"/>
  <c r="G102" i="2" s="1"/>
  <c r="F87" i="2"/>
  <c r="F21" i="2"/>
  <c r="G104" i="2" s="1"/>
  <c r="F59" i="2"/>
  <c r="G85" i="2" s="1"/>
  <c r="F24" i="2"/>
  <c r="F110" i="2"/>
  <c r="F71" i="2"/>
  <c r="G108" i="2" s="1"/>
  <c r="F104" i="2"/>
  <c r="F108" i="2"/>
  <c r="F34" i="2"/>
  <c r="G34" i="2" s="1"/>
  <c r="F50" i="2"/>
  <c r="G112" i="2" s="1"/>
  <c r="F14" i="2"/>
  <c r="F133" i="2"/>
  <c r="F15" i="2"/>
  <c r="F98" i="2"/>
  <c r="G116" i="2" s="1"/>
  <c r="F134" i="2"/>
  <c r="F135" i="2"/>
  <c r="F17" i="2"/>
  <c r="G17" i="2" s="1"/>
  <c r="F38" i="2"/>
  <c r="G106" i="2" s="1"/>
  <c r="F79" i="2"/>
  <c r="F136" i="2"/>
  <c r="G26" i="2" s="1"/>
  <c r="F54" i="2"/>
  <c r="G90" i="2" s="1"/>
  <c r="F19" i="2"/>
  <c r="G124" i="2" s="1"/>
  <c r="F22" i="2"/>
  <c r="F72" i="2"/>
  <c r="F64" i="2"/>
  <c r="G127" i="2" s="1"/>
  <c r="F137" i="2"/>
  <c r="F105" i="2"/>
  <c r="F94" i="2"/>
  <c r="F138" i="2"/>
  <c r="F84" i="2"/>
  <c r="G132" i="2" s="1"/>
  <c r="F139" i="2"/>
  <c r="F140" i="2"/>
  <c r="G134" i="2" s="1"/>
  <c r="F61" i="2"/>
  <c r="G135" i="2" s="1"/>
  <c r="F141" i="2"/>
  <c r="G136" i="2" s="1"/>
  <c r="F45" i="2"/>
  <c r="G99" i="2" s="1"/>
  <c r="F29" i="2"/>
  <c r="G115" i="2" s="1"/>
  <c r="F25" i="2"/>
  <c r="F103" i="2"/>
  <c r="G140" i="2" s="1"/>
  <c r="F13" i="2"/>
  <c r="G131" i="2" s="1"/>
  <c r="F89" i="2"/>
  <c r="B68" i="2"/>
  <c r="B58" i="2"/>
  <c r="B63" i="2"/>
  <c r="B83" i="2"/>
  <c r="B113" i="2"/>
  <c r="B114" i="2"/>
  <c r="B27" i="2"/>
  <c r="B44" i="2"/>
  <c r="B11" i="2"/>
  <c r="B109" i="2"/>
  <c r="B90" i="2"/>
  <c r="B53" i="2"/>
  <c r="B76" i="2"/>
  <c r="B112" i="2"/>
  <c r="B48" i="2"/>
  <c r="B56" i="2"/>
  <c r="B111" i="2"/>
  <c r="B43" i="2"/>
  <c r="B86" i="2"/>
  <c r="B42" i="2"/>
  <c r="B46" i="2"/>
  <c r="B115" i="2"/>
  <c r="B96" i="2"/>
  <c r="B116" i="2"/>
  <c r="B93" i="2"/>
  <c r="B117" i="2"/>
  <c r="B100" i="2"/>
  <c r="B118" i="2"/>
  <c r="B73" i="2"/>
  <c r="B99" i="2"/>
  <c r="B70" i="2"/>
  <c r="B119" i="2"/>
  <c r="B80" i="2"/>
  <c r="B120" i="2"/>
  <c r="B60" i="2"/>
  <c r="B77" i="2"/>
  <c r="B33" i="2"/>
  <c r="B106" i="2"/>
  <c r="B121" i="2"/>
  <c r="B32" i="2"/>
  <c r="B122" i="2"/>
  <c r="B123" i="2"/>
  <c r="B102" i="2"/>
  <c r="B101" i="2"/>
  <c r="B41" i="2"/>
  <c r="B124" i="2"/>
  <c r="B74" i="2"/>
  <c r="B6" i="2"/>
  <c r="B30" i="2"/>
  <c r="B16" i="2"/>
  <c r="B28" i="2"/>
  <c r="B8" i="2"/>
  <c r="B39" i="2"/>
  <c r="B36" i="2"/>
  <c r="B52" i="2"/>
  <c r="B4" i="2"/>
  <c r="B107" i="2"/>
  <c r="B7" i="2"/>
  <c r="B10" i="2"/>
  <c r="B26" i="2"/>
  <c r="B12" i="2"/>
  <c r="B57" i="2"/>
  <c r="B23" i="2"/>
  <c r="B40" i="2"/>
  <c r="B49" i="2"/>
  <c r="B51" i="2"/>
  <c r="B88" i="2"/>
  <c r="B35" i="2"/>
  <c r="B3" i="2"/>
  <c r="B91" i="2"/>
  <c r="B69" i="2"/>
  <c r="B9" i="2"/>
  <c r="B18" i="2"/>
  <c r="B82" i="2"/>
  <c r="B125" i="2"/>
  <c r="B62" i="2"/>
  <c r="B126" i="2"/>
  <c r="B127" i="2"/>
  <c r="B75" i="2"/>
  <c r="B5" i="2"/>
  <c r="B31" i="2"/>
  <c r="B37" i="2"/>
  <c r="B128" i="2"/>
  <c r="B97" i="2"/>
  <c r="B129" i="2"/>
  <c r="B92" i="2"/>
  <c r="B55" i="2"/>
  <c r="B130" i="2"/>
  <c r="B67" i="2"/>
  <c r="B95" i="2"/>
  <c r="B131" i="2"/>
  <c r="B47" i="2"/>
  <c r="B20" i="2"/>
  <c r="B65" i="2"/>
  <c r="B81" i="2"/>
  <c r="B132" i="2"/>
  <c r="B78" i="2"/>
  <c r="B66" i="2"/>
  <c r="B85" i="2"/>
  <c r="B87" i="2"/>
  <c r="B21" i="2"/>
  <c r="B59" i="2"/>
  <c r="B24" i="2"/>
  <c r="B110" i="2"/>
  <c r="B71" i="2"/>
  <c r="B104" i="2"/>
  <c r="B108" i="2"/>
  <c r="B34" i="2"/>
  <c r="B50" i="2"/>
  <c r="B14" i="2"/>
  <c r="B133" i="2"/>
  <c r="B15" i="2"/>
  <c r="B98" i="2"/>
  <c r="B134" i="2"/>
  <c r="B135" i="2"/>
  <c r="B17" i="2"/>
  <c r="B38" i="2"/>
  <c r="B79" i="2"/>
  <c r="B136" i="2"/>
  <c r="B54" i="2"/>
  <c r="B19" i="2"/>
  <c r="B22" i="2"/>
  <c r="B72" i="2"/>
  <c r="B64" i="2"/>
  <c r="B137" i="2"/>
  <c r="B105" i="2"/>
  <c r="B94" i="2"/>
  <c r="B138" i="2"/>
  <c r="B84" i="2"/>
  <c r="B139" i="2"/>
  <c r="B140" i="2"/>
  <c r="B61" i="2"/>
  <c r="B141" i="2"/>
  <c r="B45" i="2"/>
  <c r="B29" i="2"/>
  <c r="B25" i="2"/>
  <c r="B103" i="2"/>
  <c r="B13" i="2"/>
  <c r="B89" i="2"/>
  <c r="G138" i="2" l="1"/>
  <c r="G50" i="2"/>
  <c r="G84" i="2"/>
  <c r="G75" i="2"/>
  <c r="G11" i="2"/>
  <c r="G74" i="2"/>
  <c r="G53" i="2"/>
  <c r="G45" i="2"/>
  <c r="G5" i="2"/>
  <c r="G129" i="2"/>
  <c r="G80" i="2"/>
  <c r="G141" i="2"/>
  <c r="G32" i="2"/>
  <c r="G8" i="2"/>
  <c r="G67" i="2"/>
  <c r="G27" i="2"/>
  <c r="G61" i="2"/>
  <c r="G18" i="2"/>
  <c r="G118" i="2"/>
  <c r="G110" i="2"/>
  <c r="G21" i="2"/>
  <c r="G54" i="2"/>
  <c r="G41" i="2"/>
  <c r="G38" i="2"/>
  <c r="G22" i="2"/>
  <c r="G14" i="2"/>
  <c r="G6" i="2"/>
  <c r="G98" i="2"/>
  <c r="G29" i="2"/>
  <c r="G122" i="2"/>
  <c r="G49" i="2"/>
  <c r="G107" i="2"/>
  <c r="G93" i="2"/>
  <c r="G137" i="2"/>
  <c r="G13" i="2"/>
  <c r="G10" i="2"/>
  <c r="G101" i="2"/>
  <c r="G35" i="2"/>
  <c r="G59" i="2"/>
  <c r="G60" i="2"/>
  <c r="G12" i="2"/>
  <c r="G113" i="2"/>
  <c r="G33" i="2"/>
  <c r="G125" i="2"/>
  <c r="G77" i="2"/>
  <c r="G58" i="2"/>
  <c r="G42" i="2"/>
  <c r="G128" i="2"/>
  <c r="G120" i="2"/>
  <c r="G96" i="2"/>
  <c r="G72" i="2"/>
  <c r="G64" i="2"/>
  <c r="G56" i="2"/>
  <c r="G48" i="2"/>
  <c r="G40" i="2"/>
  <c r="G24" i="2"/>
  <c r="G16" i="2"/>
  <c r="G105" i="2"/>
  <c r="G73" i="2"/>
  <c r="G25" i="2"/>
  <c r="G119" i="2"/>
  <c r="G111" i="2"/>
  <c r="G103" i="2"/>
  <c r="G95" i="2"/>
  <c r="G87" i="2"/>
  <c r="G79" i="2"/>
  <c r="G71" i="2"/>
  <c r="G63" i="2"/>
  <c r="G55" i="2"/>
  <c r="G47" i="2"/>
  <c r="G39" i="2"/>
  <c r="G31" i="2"/>
  <c r="G23" i="2"/>
  <c r="G15" i="2"/>
  <c r="G7" i="2"/>
  <c r="G133" i="2"/>
  <c r="G37" i="2"/>
  <c r="G126" i="2"/>
  <c r="G94" i="2"/>
  <c r="G86" i="2"/>
  <c r="G78" i="2"/>
  <c r="G70" i="2"/>
  <c r="G62" i="2"/>
  <c r="G46" i="2"/>
  <c r="G30" i="2"/>
  <c r="G51" i="2"/>
  <c r="G19" i="2"/>
  <c r="G3" i="2"/>
</calcChain>
</file>

<file path=xl/sharedStrings.xml><?xml version="1.0" encoding="utf-8"?>
<sst xmlns="http://schemas.openxmlformats.org/spreadsheetml/2006/main" count="342" uniqueCount="335">
  <si>
    <t>AGRICULTURA, PECUÁRIA, CAÇA E SERVIÇOS RELACIONADOS</t>
  </si>
  <si>
    <t>Cultivo de arroz</t>
  </si>
  <si>
    <t>Cultivo de milho</t>
  </si>
  <si>
    <t>Cultivo de outros cereais</t>
  </si>
  <si>
    <t>Cultivo de algodão</t>
  </si>
  <si>
    <t>Cultivo de cana-de-açúcar</t>
  </si>
  <si>
    <t>Cultivo de fumo</t>
  </si>
  <si>
    <t>Cultivo de soja</t>
  </si>
  <si>
    <t>Cultivo de mandioca</t>
  </si>
  <si>
    <t>Cultivo de outras lavouras temporárias não especificadas anteriormente</t>
  </si>
  <si>
    <t>Horticultura</t>
  </si>
  <si>
    <t>Cultivo de flores e plantas ornamentais</t>
  </si>
  <si>
    <t>Cultivo de frutas cítricas</t>
  </si>
  <si>
    <t>Cultivo de café</t>
  </si>
  <si>
    <t>Cultivo de cacau</t>
  </si>
  <si>
    <t>Cultivo de uva</t>
  </si>
  <si>
    <t>Cultivo de banana</t>
  </si>
  <si>
    <t>Cultivo de outras plantas e frutas de lavoura permanente não especificadas anteriormente</t>
  </si>
  <si>
    <t>Produção de sementes e mudas certificadas</t>
  </si>
  <si>
    <t>Lavoura não especificada</t>
  </si>
  <si>
    <t>Criação de bovinos</t>
  </si>
  <si>
    <t>Criação de outros animais de grande porte não especificados anteriormente</t>
  </si>
  <si>
    <t>Criação de caprinos e ovinos</t>
  </si>
  <si>
    <t>Criação de suínos</t>
  </si>
  <si>
    <t>Criação de aves</t>
  </si>
  <si>
    <t>Apicultura</t>
  </si>
  <si>
    <t>Sericicultura</t>
  </si>
  <si>
    <t xml:space="preserve">Criação de outros animais não especificados anteriormente </t>
  </si>
  <si>
    <t>Pecuária não especificada</t>
  </si>
  <si>
    <t>Atividades de apoio à agricultura e pós-colheita</t>
  </si>
  <si>
    <t xml:space="preserve">Atividades de apoio à pecuária </t>
  </si>
  <si>
    <t>Caça e serviços relacionados</t>
  </si>
  <si>
    <t>Agropecuária</t>
  </si>
  <si>
    <t>PRODUÇÃO FLORESTAL</t>
  </si>
  <si>
    <t xml:space="preserve">Produção florestal </t>
  </si>
  <si>
    <t>PESCA E AQÜICULTURA</t>
  </si>
  <si>
    <t>Pesca</t>
  </si>
  <si>
    <t>Aqüicultura</t>
  </si>
  <si>
    <t>INDÚSTRIAS EXTRATIVAS</t>
  </si>
  <si>
    <t>EXTRAÇÃO DE CARVÃO MINERAL</t>
  </si>
  <si>
    <t>Extração de carvão mineral</t>
  </si>
  <si>
    <t>EXTRAÇÃO DE PETRÓLEO E GÁS NATURAL</t>
  </si>
  <si>
    <t xml:space="preserve">Extração de petróleo e gás natural </t>
  </si>
  <si>
    <t>EXTRAÇÃO DE MINERAIS METÁLICOS</t>
  </si>
  <si>
    <t>Extração de minérios de metais preciosos</t>
  </si>
  <si>
    <t xml:space="preserve">Extração de minerais metálicos não especificados anteriormente </t>
  </si>
  <si>
    <t>EXTRAÇÃO DE MINERAIS NÃO-METÁLICOS</t>
  </si>
  <si>
    <t>Extração de pedras, areia e argila</t>
  </si>
  <si>
    <t>Extração de gemas (pedras preciosas e semi-preciosas)</t>
  </si>
  <si>
    <t xml:space="preserve">Extração de minerais não metálicos não especificados anteriormente </t>
  </si>
  <si>
    <t>ATIVIDADES DE APOIO À EXTRAÇÃO DE MINERAIS</t>
  </si>
  <si>
    <t>Atividades de apoio à extração de minerais</t>
  </si>
  <si>
    <t>INDÚSTRIAS DE TRANSFORMAÇÃO</t>
  </si>
  <si>
    <t>FABRICAÇÃO DE PRODUTOS ALIMENTÍCIOS</t>
  </si>
  <si>
    <t xml:space="preserve">Abate e fabricação de produtos de carne e pescado </t>
  </si>
  <si>
    <t>Fabricação de conservas de frutas, legumes e outros vegetais</t>
  </si>
  <si>
    <t>Fabricação de óleos vegetais e gorduras vegetais e animais</t>
  </si>
  <si>
    <t>Laticínios</t>
  </si>
  <si>
    <t>Moagem, fabricação de produtos amiláceos e de alimentos para animais</t>
  </si>
  <si>
    <t>Fabricação e refino do açúcar</t>
  </si>
  <si>
    <t>Torrefação e moagem de café</t>
  </si>
  <si>
    <t>Fabricação de outros produtos alimentícios</t>
  </si>
  <si>
    <t>FABRICAÇÃO DE BEBIDAS</t>
  </si>
  <si>
    <t>Fabricação de bebidas</t>
  </si>
  <si>
    <t>FABRICAÇÃO DE PRODUTOS DO FUMO</t>
  </si>
  <si>
    <t>Processamento industrial e fabricação de produtos do fumo</t>
  </si>
  <si>
    <t>FABRICAÇÃO DE PRODUTOS TÊXTEIS</t>
  </si>
  <si>
    <t>Preparação de fibras, fiação e tecelagem</t>
  </si>
  <si>
    <t>Fabricação de artefatos têxteis, exceto vestuário</t>
  </si>
  <si>
    <t>CONFECÇÃO DE ARTIGOS DO VESTUÁRIO E ACESSÓRIOS</t>
  </si>
  <si>
    <t>Confecção de artigos do vestuário e acessórios, exceto sob medida</t>
  </si>
  <si>
    <t>Confecção, sob medida, de artigos do vestuário</t>
  </si>
  <si>
    <t>PREPARAÇÃO DE COUROS E FABRICAÇÃO DE ARTEFATOS DE COURO, ARTIGOS DE VIAGEM E CALÇADOS</t>
  </si>
  <si>
    <t>Curtimento e outras preparações de couro</t>
  </si>
  <si>
    <t>Fabricação de artigos de viagem e de artefatos diversos de couro</t>
  </si>
  <si>
    <t>Fabricação de calçados e partes para calçados, de qualquer material</t>
  </si>
  <si>
    <t>FABRICAÇÃO DE PRODUTOS DE MADEIRA</t>
  </si>
  <si>
    <t>Serrarias</t>
  </si>
  <si>
    <t>Fabricação de produtos de madeira, cortiça e material trançado, exceto móveis</t>
  </si>
  <si>
    <t>FABRICAÇÃO DE CELULOSE, PAPEL E PRODUTOS DE PAPEL</t>
  </si>
  <si>
    <t>Fabricação de celulose, papel, cartolina e papel-cartão</t>
  </si>
  <si>
    <t>Fabricação de embalagens e de produtos diversos de papel, cartolina, papel-cartão e papelão ondulado</t>
  </si>
  <si>
    <t>IMPRESSÃO E REPRODUÇÃO DE GRAVAÇÕES</t>
  </si>
  <si>
    <t>Impressão e reprodução de gravações</t>
  </si>
  <si>
    <t>FABRICAÇÃO DE COQUE; PRODUTOS DERIVADOS DE PETRÓLEO E DE BIOCOMBUSTÍVEIS</t>
  </si>
  <si>
    <t>Coquerias</t>
  </si>
  <si>
    <t>Fabricação de produtos derivados do petróleo</t>
  </si>
  <si>
    <t>Produção de biocombustíveis</t>
  </si>
  <si>
    <t>FABRICAÇÃO DE PRODUTOS QUÍMICOS</t>
  </si>
  <si>
    <t>Fabricação de tintas, vernizes, esmaltes, lacas e produtos afins</t>
  </si>
  <si>
    <t>Fabricação de sabões, detergentes, produtos de limpeza, cosméticos, produtos de perfumaria e de higiene pessoal</t>
  </si>
  <si>
    <t>Fabricação de outros produtos químicos não especificados anteriormente</t>
  </si>
  <si>
    <t>FABRICAÇÃO DE PRODUTOS FARMOQUÍMICOS E FARMACÊUTICOS</t>
  </si>
  <si>
    <t>Fabricação de produtos farmoquimicos e farmacêuticos</t>
  </si>
  <si>
    <t>FABRICAÇÃO DE PRODUTOS DE BORRACHA E DE MATERIAL PLÁSTICO</t>
  </si>
  <si>
    <t>Fabricação de produtos de borracha</t>
  </si>
  <si>
    <t>Fabricação de produtos de material plástico</t>
  </si>
  <si>
    <t>FABRICAÇÃO DE PRODUTOS DE MINERAIS NÃO-METÁLICOS</t>
  </si>
  <si>
    <t>Fabricação de vidro e produtos de vidro</t>
  </si>
  <si>
    <t>Fabricação de produtos cerâmicos</t>
  </si>
  <si>
    <t>Fabricação de outros produtos de minerais não-metálicos não especificados anteriormente</t>
  </si>
  <si>
    <t xml:space="preserve">METALURGIA </t>
  </si>
  <si>
    <t>Fabricação de produtos siderúrgicos</t>
  </si>
  <si>
    <t>Metalurgia dos metais não-ferrosos</t>
  </si>
  <si>
    <t>Fundição</t>
  </si>
  <si>
    <t>FABRICAÇÃO DE PRODUTOS DE METAL, EXCETO MÁQUINAS E EQUIPAMENTOS</t>
  </si>
  <si>
    <t>Fabricação de produtos de metal, exceto máquinas e equipamentos</t>
  </si>
  <si>
    <t>Forjaria, estamparia, metalurgia do pó e serviços de tratamento de metais</t>
  </si>
  <si>
    <t>FABRICAÇÃO DE EQUIPAMENTOS DE INFORMÁTICA, PRODUTOS ELETRÔNICOS E ÓPTICOS</t>
  </si>
  <si>
    <t>Fabricação de componentes eletrônicos</t>
  </si>
  <si>
    <t>Fabricação de equipamentos de informática e periféricos</t>
  </si>
  <si>
    <t>Fabricação de equipamentos de comunicação e de aparelhos de recepção, reprodução, gravação e amplificação de áudio e vídeo</t>
  </si>
  <si>
    <t>Fabricação de aparelhos e instrumentos de medida, teste e controle; cronômetros e relógios e de aparelhos eletromédicos e eletroterapêuticos</t>
  </si>
  <si>
    <t>Fabricação de equipamentos e instrumentos ópticos, fotográficos e cinematográficos e de mídias virgens, magnéticas e ópticas</t>
  </si>
  <si>
    <t>FABRICAÇÃO DE MÁQUINAS, APARELHOS E MATERIAIS ELÉTRICOS</t>
  </si>
  <si>
    <t>Fabricação de eletrodomesticos</t>
  </si>
  <si>
    <t>Fabricação de máquinas, aparelhos e materiais elétricos diversos, exceto eletrodomesticos</t>
  </si>
  <si>
    <t>FABRICAÇÃO DE MÁQUINAS E EQUIPAMENTOS</t>
  </si>
  <si>
    <t>Fabricação de máquinas e equipamentos</t>
  </si>
  <si>
    <t>FABRICAÇÃO DE VEÍCULOS AUTOMOTORES, REBOQUES E CARROCERIAS</t>
  </si>
  <si>
    <t>Fabricação e montagem de veículos automotores</t>
  </si>
  <si>
    <t>Fabricação de cabines, carrocerias, reboques e peças para veículos automotores</t>
  </si>
  <si>
    <t>Reconstrução, em fábrica, de motores de veículos automotores</t>
  </si>
  <si>
    <t>FABRICAÇÃO DE OUTROS EQUIPAMENTOS DE TRANSPORTE, EXCETO VEÍCULOS AUTOMOTORES</t>
  </si>
  <si>
    <t xml:space="preserve">Construção de embarcações </t>
  </si>
  <si>
    <t>Fabricação de veículos ferroviários</t>
  </si>
  <si>
    <t>Fabricação de aeronaves</t>
  </si>
  <si>
    <t>Fabricação de outros equipamentos de transporte não especificados anteriormente</t>
  </si>
  <si>
    <t>FABRICAÇÃO DE MÓVEIS</t>
  </si>
  <si>
    <t>Fabricação de móveis</t>
  </si>
  <si>
    <t>FABRICAÇÃO DE PRODUTOS DIVERSOS</t>
  </si>
  <si>
    <t>Fabricação de artigos de joalheria, bijuteria e semelhantes</t>
  </si>
  <si>
    <t>Fabricação de instrumentos musicais</t>
  </si>
  <si>
    <t>Fabricação de artefatos para pesca e esporte e de brinquedos e jogos recreativos</t>
  </si>
  <si>
    <t>Fabricação de produtos diversos</t>
  </si>
  <si>
    <t>MANUTENÇÃO, REPARAÇÃO E INSTALAÇÃO DE MÁQUINAS E EQUIPAMENTOS</t>
  </si>
  <si>
    <t>Manutenção e reparação de máquinas e equipamentos</t>
  </si>
  <si>
    <t>Instalação de máquinas e equipamentos</t>
  </si>
  <si>
    <t>ELETRICIDADE E GÁS</t>
  </si>
  <si>
    <t>ELETRICIDADE, GÁS E OUTRAS UTILIDADES</t>
  </si>
  <si>
    <t>Geração, transmissão e distribuição de energia elétrica</t>
  </si>
  <si>
    <t>Produção e distribuição de combustíveis gasosos por redes urbanas</t>
  </si>
  <si>
    <t>Produção e distribuição de vapor, água quente e ar condicionado</t>
  </si>
  <si>
    <t>ÁGUA, ESGOTO, ATIVIDADES DE GESTÃO DE RESÍDUOS E DESCONTAMINAÇÃO</t>
  </si>
  <si>
    <t>CAPTAÇÃO, TRATAMENTO E DISTRIBUIÇÃO DE ÁGUA</t>
  </si>
  <si>
    <t>Captação, tratamento e distribuição de água</t>
  </si>
  <si>
    <t>ESGOTO E ATIVIDADES RELACIONADAS</t>
  </si>
  <si>
    <t>Esgoto e atividades relacionadas</t>
  </si>
  <si>
    <t>COLETA, TRATAMENTO E DISPOSIÇÃO DE RESÍDUOS; RECUPERAÇÃO DE MATERIAIS</t>
  </si>
  <si>
    <t>Coleta, tratamento e disposição de resíduos; recuperação de materiais</t>
  </si>
  <si>
    <t>DESCONTAMINAÇÃO E OUTROS SERVIÇOS DE GESTÃO DE RESÍDUOS</t>
  </si>
  <si>
    <t>Descontaminação e outros serviços de gestão de resíduos</t>
  </si>
  <si>
    <t>CONSTRUÇÃO</t>
  </si>
  <si>
    <t>CONSTRUÇÃO E INCORPORAÇÃO DE EDIFÍCIOS</t>
  </si>
  <si>
    <t>Construção de edifícios</t>
  </si>
  <si>
    <t>OBRAS DE INFRA-ESTRUTURA</t>
  </si>
  <si>
    <t>Construção de obras de infra-estrutura</t>
  </si>
  <si>
    <t>SERVIÇOS ESPECIALIZADOS PARA CONSTRUÇÃO</t>
  </si>
  <si>
    <t>Serviços especializados para construção</t>
  </si>
  <si>
    <t>COMÉRCIO;REPARAÇÃO DE VEÍCULOS AUTOMOTORES E MOTOCICLETAS</t>
  </si>
  <si>
    <t>COMÉRCIO E REPARAÇÃO DE VEÍCULOS AUTOMOTORES E MOTOCICLETAS</t>
  </si>
  <si>
    <t>Comércio de veículos automotores</t>
  </si>
  <si>
    <t>Manutenção e reparação de veículos automotores</t>
  </si>
  <si>
    <t>Comércio de peças e acessórios para veículos automotores</t>
  </si>
  <si>
    <t>Comércio, manutenção e reparação de motocicletas, peças e acessórios</t>
  </si>
  <si>
    <t>COMÉRCIO, EXCETO DE VEICULOS AUTOMOTORES E MOTOCICLETAS</t>
  </si>
  <si>
    <t>Representantes comerciais e agentes do comércio, exceto de veículos automotores e motocicletas</t>
  </si>
  <si>
    <t>Comércio de matérias-primas agrícolas e animais vivos</t>
  </si>
  <si>
    <t>Comércio de produtos alimentícios, bebidas e fumo</t>
  </si>
  <si>
    <t>Comércio de tecidos, artefatos de tecidos e armarinho</t>
  </si>
  <si>
    <t>Comércio de artigos do vestuário, complementos, calçados e artigos de viagem</t>
  </si>
  <si>
    <t>Comércio de madeira, material de construção, ferragens e ferramentas</t>
  </si>
  <si>
    <t>Comércio de combustíveis para veículos automotores</t>
  </si>
  <si>
    <t>Comércio de produtos farmaceuticos, médicos, ortopédicos, odontológicos e de cosméticos e perfumaria</t>
  </si>
  <si>
    <t>Comércio de artigos de escritório e de papelaria; livros, jornais e outras publicações</t>
  </si>
  <si>
    <t>Comércio de eletrodomésticos, móveis e outros artigos de residência</t>
  </si>
  <si>
    <t>Comércio de equipamentos e produtos de tecnologias de informação e comunicação</t>
  </si>
  <si>
    <t xml:space="preserve">Comércio de máquinas, aparelhos e equipamentos, exceto eletrodomésticos </t>
  </si>
  <si>
    <t>Comércio de combustíveis sólidos, líquidos e gasosos, exceto para veículos automotores</t>
  </si>
  <si>
    <t>Comércio de produtos usados</t>
  </si>
  <si>
    <t>Comercio de residuos e sucatas</t>
  </si>
  <si>
    <t>Comércio de produtos novos não especificados anteriormente</t>
  </si>
  <si>
    <t>Supermercado e hipermercado</t>
  </si>
  <si>
    <t>Lojas de departamento e outros comércios não especializados, sem predominância de produtos alimentícios</t>
  </si>
  <si>
    <t>Comércio ambulante e feiras</t>
  </si>
  <si>
    <t>TRANSPORTE, ARMAZENAGEM E CORREIO</t>
  </si>
  <si>
    <t xml:space="preserve">TRANSPORTE TERRESTRE </t>
  </si>
  <si>
    <t>Transporte ferroviário e metroferroviário</t>
  </si>
  <si>
    <t>Transporte rodoviário de passageiros</t>
  </si>
  <si>
    <t>Transporte rodoviário de carga</t>
  </si>
  <si>
    <t>Outros transportes terrestres</t>
  </si>
  <si>
    <t>TRANSPORTE AQUAVIÁRIO</t>
  </si>
  <si>
    <t>Transporte Aquaviário</t>
  </si>
  <si>
    <t>TRANSPORTE AÉREO</t>
  </si>
  <si>
    <t>Transporte Aéreo</t>
  </si>
  <si>
    <t>ARMAZENAMENTO E ATIVIDADES AUXILIARES DOS TRANSPORTES</t>
  </si>
  <si>
    <t>Armazenamento, carga e descarga</t>
  </si>
  <si>
    <t xml:space="preserve">Atividades auxiliares dos transportes e atividades relacionadas à organização do transporte de carga </t>
  </si>
  <si>
    <t>CORREIO E OUTRAS ATIVIDADES DE ENTREGA</t>
  </si>
  <si>
    <t>Atividades de Correio</t>
  </si>
  <si>
    <t>Atividades de malote e de entrega</t>
  </si>
  <si>
    <t>ALOJAMENTO E ALIMENTAÇÃO</t>
  </si>
  <si>
    <t>ALOJAMENTO</t>
  </si>
  <si>
    <t>Alojamento</t>
  </si>
  <si>
    <t>ALIMENTAÇÃO</t>
  </si>
  <si>
    <t>Restaurantes e outros estabelecimentos de serviços de alimentação e bebidas</t>
  </si>
  <si>
    <t>Serviços de catering, bufê e outros serviços de comida preparada</t>
  </si>
  <si>
    <t>Serviços ambulantes de alimentação</t>
  </si>
  <si>
    <t>INFORMAÇÃO E COMUNICAÇÃO</t>
  </si>
  <si>
    <t>EDIÇÃO E EDIÇÃO INTEGRADA À DE IMPRESSÃO</t>
  </si>
  <si>
    <t xml:space="preserve">Edição e Edição integrada à impressão </t>
  </si>
  <si>
    <t>ATIVIDADES CINEMATOGRÁFICAS, PRODUÇÃO DE VÍDEOS E DE PROGRAMAS DE TELEVISÃO; GRAVAÇÃO DE SOM E DE MÚSICA</t>
  </si>
  <si>
    <t>Atividades cinematográficas, produção de vídeos e de programas de televisão, gravação de som e de música</t>
  </si>
  <si>
    <t>ATIVIDADES DE RÁDIO E DE TELEVISÃO</t>
  </si>
  <si>
    <t>Atividades de rádio</t>
  </si>
  <si>
    <t>Atividades de televisão</t>
  </si>
  <si>
    <t>TELECOMUNICAÇÕES</t>
  </si>
  <si>
    <t>Telecomunicações</t>
  </si>
  <si>
    <t>ATIVIDADES DOS SERVIÇOS DE TECNOLOGIA DA INFORMAÇÃO</t>
  </si>
  <si>
    <t>Atividades dos serviços de tecnologia da informação</t>
  </si>
  <si>
    <t>ATIVIDADES DE PRESTAÇÃO DE SERVIÇOS DE INFORMAÇÃO</t>
  </si>
  <si>
    <t>Atividades de prestação de serviços de informação</t>
  </si>
  <si>
    <t>ATIVIDADES FINANCEIRAS, DE SEGUROS E SERVIÇOS RELACIONADOS</t>
  </si>
  <si>
    <t>ATIVIDADES DE SERVIÇOS FINANCEIROS</t>
  </si>
  <si>
    <t>Serviços financeiros</t>
  </si>
  <si>
    <t>SEGUROS, RESSEGUROS, PREVIDÊNCIA COMPLEMENTAR E PLANOS DE SAÚDE</t>
  </si>
  <si>
    <t>Seguros e previdência privada</t>
  </si>
  <si>
    <t>ATIVIDADES AUXILIARES DOS SERVIÇOS FINANCEIROS, SEGUROS, PREVIDÊNCIA COMPLEMENTAR E PLANOS DE SAÚDE</t>
  </si>
  <si>
    <t>Atividades auxiliares dos serviços financeiros</t>
  </si>
  <si>
    <t>Atividades auxiliares dos seguros, da previdência complementar e dos planos de saúde</t>
  </si>
  <si>
    <t>ATIVIDADES IMOBILIÁRIAS</t>
  </si>
  <si>
    <t>Atividades imobiliárias</t>
  </si>
  <si>
    <t>ATIVIDADES PROFISSIONAIS, CIENTÍFICAS E TÉCNICAS</t>
  </si>
  <si>
    <t>ATIVIDADES JURÍDICAS, DE CONTABILIDADE E DE AUDITORIA</t>
  </si>
  <si>
    <t xml:space="preserve">Atividades jurídicas, de contabilidade e de auditoria </t>
  </si>
  <si>
    <t>ATIVIDADES DE CONSULTORIA EM GESTÃO EMPRESARIAL</t>
  </si>
  <si>
    <t>Atividades de consultoria em gestão empresarial</t>
  </si>
  <si>
    <t>SERVIÇOS DE ARQUITETURA E ENGENHARIA; TESTES E ANÁLISES TÉCNICAS</t>
  </si>
  <si>
    <t>Serviços de arquitetura e engenharia e atividades técnicas relacionadas; Testes e análises técnicas</t>
  </si>
  <si>
    <t>PESQUISA E DESENVOLVIMENTO CIENTÍFICO</t>
  </si>
  <si>
    <t>Pesquisa e desenvolvimento científico</t>
  </si>
  <si>
    <t>PUBLICIDADE E PESQUISAS DE MERCADO</t>
  </si>
  <si>
    <t>Publicidade</t>
  </si>
  <si>
    <t>Pesquisas de mercado e opinião pública</t>
  </si>
  <si>
    <t>OUTRAS ATIVIDADES PROFISSIONAIS, CIENTÍFICAS E TÉCNICAS</t>
  </si>
  <si>
    <t>Outras atividades profissionais, científicas e técnicas não especificadas anteriormente</t>
  </si>
  <si>
    <t>ATIVIDADES VETERINÁRIAS</t>
  </si>
  <si>
    <t>Atividades veterinárias</t>
  </si>
  <si>
    <t>ATIVIDADES ADMINISTRATIVAS E SERVIÇOS COMPLEMENTARES</t>
  </si>
  <si>
    <t>ALUGUÉIS NÃO IMOBILIÁRIOS E GESTÃO DE ATIVOS INTANGÍVEIS NÃO FINANCEIROS</t>
  </si>
  <si>
    <t>Aluguel de objetos pessoais e domésticos</t>
  </si>
  <si>
    <t>Aluguel de meios de transportes, maquinas e equipamentos sem operador e gestão de ativos intangíveis não financeiros</t>
  </si>
  <si>
    <t>SELEÇÃO, AGENCIAMENTO E LOCAÇÃO DE MÃO-DE-OBRA</t>
  </si>
  <si>
    <t>Seleção, agenciamento e locação de mão-de-obra</t>
  </si>
  <si>
    <t>AGÊNCIAS DE VIAGENS, OPERADORES TURÍSTICOS E SERVIÇOS DE RESERVAS</t>
  </si>
  <si>
    <t>Agências de viagens, operadores turísticos e serviços de reservas</t>
  </si>
  <si>
    <t>ATIVIDADES DE VIGILÂNCIA, SEGURANÇA E INVESTIGAÇÃO</t>
  </si>
  <si>
    <t>Atividades de vigilância, segurança, transporte de valores e investigação</t>
  </si>
  <si>
    <t>SERVIÇOS PARA EDIFICIOS E ATIVIDADES PAISAGISTICAS</t>
  </si>
  <si>
    <t>Serviços de limpeza e de apoio a edifícios, exceto condomínios prediais</t>
  </si>
  <si>
    <t>Condomínios prediais</t>
  </si>
  <si>
    <t>Atividades paisagísticas</t>
  </si>
  <si>
    <t>SERVIÇOS DE ESCRITÓRIO, DE APOIO ADMINISTRATIVO E OUTROS SERVIÇOS PRESTADOS A EMPRESAS</t>
  </si>
  <si>
    <t>Serviços de escritório e apoio administrativo</t>
  </si>
  <si>
    <t>Atividades de teleatendimento</t>
  </si>
  <si>
    <t>Atividades de organização de eventos, exceto culturais e esportivos</t>
  </si>
  <si>
    <t>Outras atividades de serviços prestados principalmente às empresas</t>
  </si>
  <si>
    <t>ADMINISTRAÇÃO PÚBLICA, DEFESA E SEGURIDADE SOCIAL</t>
  </si>
  <si>
    <t>Administração publica e regulação da política econômica e social - Federal</t>
  </si>
  <si>
    <t>Administração publica e regulação da política econômica e social - Estadual</t>
  </si>
  <si>
    <t>Administração publica e regulação da política econômica e social - Municipal</t>
  </si>
  <si>
    <t>Defesa</t>
  </si>
  <si>
    <t>Outros serviços coletivos prestados pela administração pública - Federal</t>
  </si>
  <si>
    <t>Outros serviços coletivos prestados pela administração pública - Estadual</t>
  </si>
  <si>
    <t>Outros serviços coletivos prestados pela administração pública - Municipal</t>
  </si>
  <si>
    <t>Seguridade social obrigatória</t>
  </si>
  <si>
    <t>EDUCAÇÃO</t>
  </si>
  <si>
    <t>Creche</t>
  </si>
  <si>
    <t>Pré-escola e ensino fundamental</t>
  </si>
  <si>
    <t>Ensino médio</t>
  </si>
  <si>
    <t>Educação superior</t>
  </si>
  <si>
    <t>Serviços auxiliares à educação</t>
  </si>
  <si>
    <t>Outras atividades de ensino</t>
  </si>
  <si>
    <t>SAÚDE HUMANA E SERVIÇOS SOCIAIS</t>
  </si>
  <si>
    <t>ATIVIDADES DE ATENÇÃO À SAÚDE HUMANA</t>
  </si>
  <si>
    <t>Atividades de atendimento hospitalar</t>
  </si>
  <si>
    <t>Atividades de atenção ambulatorial executadas por médicos e odontólogos</t>
  </si>
  <si>
    <t>Atividades de serviços de complementação diagnóstica e terapêutica</t>
  </si>
  <si>
    <t>Atividades de profissionais da área de saúde, exceto médicos e odontólogos</t>
  </si>
  <si>
    <t>Atividades de atenção à saúde humana não especificadas anteriormente</t>
  </si>
  <si>
    <t>ATIVIDADES DE ATENÇÃO À SAÚDE HUMANA INTEGRADAS COM ASSISTÊNCIA SOCIAL, INCLUSIVE PRESTADAS EM RESIDÊNCIAS COLETIVAS E PARTICULARES</t>
  </si>
  <si>
    <t>Atividades de assistência à saude humana integradas com assistencia social, inclusive prestadas em residencias</t>
  </si>
  <si>
    <t>SERVIÇOS DE ASSISTÊNCIA SOCIAL SEM ALOJAMENTO</t>
  </si>
  <si>
    <t>Serviços de assistência social sem alojamento</t>
  </si>
  <si>
    <t>ARTES, CULTURA, ESPORTE E RECREAÇÃO</t>
  </si>
  <si>
    <t>ATIVIDADES ARTÍSTICAS, CRIATIVAS E DE ESPETÁCULOS</t>
  </si>
  <si>
    <t>Atividades artísticas, criativas e de espetáculos</t>
  </si>
  <si>
    <t>ATIVIDADES LIGADAS AO PATRIMÔNIO CULTURAL E AMBIENTAL</t>
  </si>
  <si>
    <t>Atividades ligadas ao patrimônio cultural e ambiental</t>
  </si>
  <si>
    <t>ATIVIDADES DE EXPLORAÇÃO DE JOGOS DE AZAR E APOSTAS</t>
  </si>
  <si>
    <t>Atividades de exploração de jogos de azar e apostas</t>
  </si>
  <si>
    <t>ATIVIDADES ESPORTIVAS E DE RECREAÇÃO E LAZER</t>
  </si>
  <si>
    <t>Atividades esportivas</t>
  </si>
  <si>
    <t>Atividades de condicionamento físico</t>
  </si>
  <si>
    <t>Atividades de recreação e lazer</t>
  </si>
  <si>
    <t>OUTRAS ATIVIDADES DE SERVIÇOS</t>
  </si>
  <si>
    <t>ATIVIDADES DE ORGANIZAÇÕES ASSOCIATIVAS</t>
  </si>
  <si>
    <t>Atividades de organizações associativas patronais, empresariais e profissionais</t>
  </si>
  <si>
    <t>Atividades de organizações sindicais</t>
  </si>
  <si>
    <t>Atividades de organizações religiosas e filosóficas</t>
  </si>
  <si>
    <t xml:space="preserve">Outras atividades associativas não especificadas anteriormente </t>
  </si>
  <si>
    <t>REPARAÇÃO E MANUTENÇÃO DE EQUIPAMENTOS DE INFORMATICA E COMUNICAÇÃO E DE OBJETOS PESSOAIS E DOMÉSTICOS</t>
  </si>
  <si>
    <t>Reparação e manutenção de equipamentos de informática e comunicação</t>
  </si>
  <si>
    <t>Reparação e manutenção de objetos e equipamentos pessoais e domésticos</t>
  </si>
  <si>
    <t>OUTRAS ATIVIDADES DE SERVIÇOS PESSOAIS</t>
  </si>
  <si>
    <t>Lavanderias, tinturarias e toalheiros</t>
  </si>
  <si>
    <t>Cabeleireiros e outras atividades de tratamento de beleza</t>
  </si>
  <si>
    <t xml:space="preserve">Atividades funerárias e serviços relacionados </t>
  </si>
  <si>
    <t>Outras atividades de serviços pessoais</t>
  </si>
  <si>
    <t>SERVIÇOS DOMÉSTICOS</t>
  </si>
  <si>
    <t>Serviços domésticos</t>
  </si>
  <si>
    <t>ORGANISMOS INTERNACIONAIS E OUTRAS INSTITUIÇÕES EXTRATERRITORIAIS</t>
  </si>
  <si>
    <t>Organismos internacionais e outras instituições extraterritoriais</t>
  </si>
  <si>
    <t>ATIVIDADES MAL DEFINIDAS</t>
  </si>
  <si>
    <t xml:space="preserve">Atividades mal definidas </t>
  </si>
  <si>
    <t>COD</t>
  </si>
  <si>
    <t>Atividade</t>
  </si>
  <si>
    <t>36 horas ou menos</t>
  </si>
  <si>
    <t>VD4035 &gt;= 37 &amp; VD4035 &lt;= 40TRUE</t>
  </si>
  <si>
    <t>37 a 40 horas</t>
  </si>
  <si>
    <t>41 horas ou mais</t>
  </si>
  <si>
    <t>COD_CNAE2.0</t>
  </si>
  <si>
    <t>VD4035 &gt;= 41TRUE</t>
  </si>
  <si>
    <t>Total</t>
  </si>
  <si>
    <t>% afetado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</si>
</sst>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color rgb="FF000000"/>
      <name val="Lucida Console"/>
      <family val="3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49" fontId="2" fillId="0" borderId="1" xfId="0" applyNumberFormat="1" applyFont="1" applyBorder="1" applyAlignment="1" applyProtection="1">
      <alignment horizontal="center" vertical="top" wrapText="1"/>
      <protection locked="0"/>
    </xf>
    <xf numFmtId="49" fontId="3" fillId="0" borderId="2" xfId="0" applyNumberFormat="1" applyFont="1" applyBorder="1" applyAlignment="1" applyProtection="1">
      <alignment horizontal="left" vertical="top" wrapText="1"/>
      <protection locked="0"/>
    </xf>
    <xf numFmtId="49" fontId="4" fillId="0" borderId="1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left" vertical="top" wrapText="1"/>
    </xf>
    <xf numFmtId="49" fontId="0" fillId="0" borderId="2" xfId="0" applyNumberFormat="1" applyBorder="1" applyAlignment="1">
      <alignment horizontal="left" vertical="top" wrapText="1"/>
    </xf>
    <xf numFmtId="49" fontId="3" fillId="0" borderId="1" xfId="0" applyNumberFormat="1" applyFont="1" applyBorder="1" applyAlignment="1" applyProtection="1">
      <alignment horizontal="center" vertical="top" wrapText="1"/>
      <protection locked="0"/>
    </xf>
    <xf numFmtId="49" fontId="3" fillId="2" borderId="1" xfId="0" applyNumberFormat="1" applyFont="1" applyFill="1" applyBorder="1" applyAlignment="1" applyProtection="1">
      <alignment horizontal="center" vertical="top" wrapText="1"/>
      <protection locked="0"/>
    </xf>
    <xf numFmtId="49" fontId="3" fillId="2" borderId="2" xfId="0" applyNumberFormat="1" applyFont="1" applyFill="1" applyBorder="1" applyAlignment="1" applyProtection="1">
      <alignment horizontal="left" vertical="top" wrapText="1"/>
      <protection locked="0"/>
    </xf>
    <xf numFmtId="49" fontId="4" fillId="0" borderId="2" xfId="0" applyNumberFormat="1" applyFont="1" applyBorder="1" applyAlignment="1" applyProtection="1">
      <alignment horizontal="left" vertical="top" wrapText="1"/>
      <protection locked="0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49" fontId="3" fillId="2" borderId="2" xfId="0" applyNumberFormat="1" applyFont="1" applyFill="1" applyBorder="1" applyAlignment="1">
      <alignment horizontal="left" vertical="top" wrapText="1"/>
    </xf>
    <xf numFmtId="49" fontId="0" fillId="0" borderId="4" xfId="0" applyNumberFormat="1" applyBorder="1" applyAlignment="1">
      <alignment horizontal="left" vertical="top" wrapText="1"/>
    </xf>
    <xf numFmtId="0" fontId="5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 applyProtection="1">
      <alignment horizontal="center" vertical="top" wrapText="1"/>
      <protection locked="0"/>
    </xf>
    <xf numFmtId="0" fontId="4" fillId="0" borderId="3" xfId="0" applyFont="1" applyBorder="1" applyAlignment="1">
      <alignment horizontal="center" vertical="top" wrapText="1"/>
    </xf>
    <xf numFmtId="0" fontId="7" fillId="0" borderId="0" xfId="0" applyFont="1" applyAlignment="1">
      <alignment horizontal="center"/>
    </xf>
    <xf numFmtId="0" fontId="7" fillId="0" borderId="0" xfId="0" applyFont="1"/>
    <xf numFmtId="3" fontId="7" fillId="0" borderId="0" xfId="0" applyNumberFormat="1" applyFont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3" fontId="7" fillId="0" borderId="5" xfId="0" applyNumberFormat="1" applyFont="1" applyBorder="1" applyAlignment="1">
      <alignment horizontal="center"/>
    </xf>
    <xf numFmtId="0" fontId="6" fillId="3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10" fontId="7" fillId="0" borderId="5" xfId="1" applyNumberFormat="1" applyFont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72EDB-F658-4CEB-A7AA-85B12B4C5F01}">
  <dimension ref="A2:G141"/>
  <sheetViews>
    <sheetView showGridLines="0" tabSelected="1" workbookViewId="0">
      <selection activeCell="G2" sqref="G2"/>
    </sheetView>
  </sheetViews>
  <sheetFormatPr defaultRowHeight="14.4" x14ac:dyDescent="0.3"/>
  <cols>
    <col min="1" max="1" width="13.6640625" style="21" bestFit="1" customWidth="1"/>
    <col min="2" max="2" width="101" style="22" bestFit="1" customWidth="1"/>
    <col min="3" max="3" width="16.5546875" style="23" customWidth="1"/>
    <col min="4" max="7" width="16.5546875" style="22" customWidth="1"/>
  </cols>
  <sheetData>
    <row r="2" spans="1:7" x14ac:dyDescent="0.3">
      <c r="A2" s="24" t="s">
        <v>331</v>
      </c>
      <c r="B2" s="25" t="s">
        <v>326</v>
      </c>
      <c r="C2" s="26" t="s">
        <v>327</v>
      </c>
      <c r="D2" s="28" t="s">
        <v>329</v>
      </c>
      <c r="E2" s="28" t="s">
        <v>330</v>
      </c>
      <c r="F2" s="28" t="s">
        <v>333</v>
      </c>
      <c r="G2" s="28" t="s">
        <v>334</v>
      </c>
    </row>
    <row r="3" spans="1:7" x14ac:dyDescent="0.3">
      <c r="A3" s="24">
        <v>48080</v>
      </c>
      <c r="B3" s="25" t="str">
        <f>VLOOKUP(A3,Planilha1!$1:$1048576,2,FALSE)</f>
        <v>Supermercado e hipermercado</v>
      </c>
      <c r="C3" s="26">
        <v>1236.2223260000001</v>
      </c>
      <c r="D3" s="26">
        <v>1266.427619</v>
      </c>
      <c r="E3" s="26">
        <v>7100.6127999999999</v>
      </c>
      <c r="F3" s="26">
        <f>SUM(C3:E3)</f>
        <v>9603.262745</v>
      </c>
      <c r="G3" s="29">
        <f>E3/F3</f>
        <v>0.73939586873190355</v>
      </c>
    </row>
    <row r="4" spans="1:7" x14ac:dyDescent="0.3">
      <c r="A4" s="24">
        <v>48030</v>
      </c>
      <c r="B4" s="25" t="str">
        <f>VLOOKUP(A4,Planilha1!$1:$1048576,2,FALSE)</f>
        <v>Comércio de produtos alimentícios, bebidas e fumo</v>
      </c>
      <c r="C4" s="26">
        <v>1698.2787699999999</v>
      </c>
      <c r="D4" s="26">
        <v>2031.444673</v>
      </c>
      <c r="E4" s="26">
        <v>6484.4235200000003</v>
      </c>
      <c r="F4" s="26">
        <f>SUM(C4:E4)</f>
        <v>10214.146962999999</v>
      </c>
      <c r="G4" s="29">
        <f t="shared" ref="G4:G67" si="0">E4/F4</f>
        <v>0.63484729008593188</v>
      </c>
    </row>
    <row r="5" spans="1:7" x14ac:dyDescent="0.3">
      <c r="A5" s="24">
        <v>56011</v>
      </c>
      <c r="B5" s="25" t="str">
        <f>VLOOKUP(A5,Planilha1!$1:$1048576,2,FALSE)</f>
        <v>Restaurantes e outros estabelecimentos de serviços de alimentação e bebidas</v>
      </c>
      <c r="C5" s="26">
        <v>4349.3029909999996</v>
      </c>
      <c r="D5" s="26">
        <v>1681.6729230000001</v>
      </c>
      <c r="E5" s="26">
        <v>6072.1375500000004</v>
      </c>
      <c r="F5" s="26">
        <f>SUM(C5:E5)</f>
        <v>12103.113464</v>
      </c>
      <c r="G5" s="29">
        <f t="shared" si="0"/>
        <v>0.50170045650329698</v>
      </c>
    </row>
    <row r="6" spans="1:7" x14ac:dyDescent="0.3">
      <c r="A6" s="24">
        <v>41000</v>
      </c>
      <c r="B6" s="25" t="str">
        <f>VLOOKUP(A6,Planilha1!$1:$1048576,2,FALSE)</f>
        <v>Construção de edifícios</v>
      </c>
      <c r="C6" s="26">
        <v>3193.2264249999998</v>
      </c>
      <c r="D6" s="26">
        <v>5476.7692619999998</v>
      </c>
      <c r="E6" s="26">
        <v>4993.0227599999998</v>
      </c>
      <c r="F6" s="26">
        <f>SUM(C6:E6)</f>
        <v>13663.018446999999</v>
      </c>
      <c r="G6" s="29">
        <f t="shared" si="0"/>
        <v>0.3654406805764302</v>
      </c>
    </row>
    <row r="7" spans="1:7" x14ac:dyDescent="0.3">
      <c r="A7" s="24">
        <v>48042</v>
      </c>
      <c r="B7" s="25" t="str">
        <f>VLOOKUP(A7,Planilha1!$1:$1048576,2,FALSE)</f>
        <v>Comércio de artigos do vestuário, complementos, calçados e artigos de viagem</v>
      </c>
      <c r="C7" s="26">
        <v>1215.18245</v>
      </c>
      <c r="D7" s="26">
        <v>1527.5099540000001</v>
      </c>
      <c r="E7" s="26">
        <v>4336.6853600000004</v>
      </c>
      <c r="F7" s="26">
        <f>SUM(C7:E7)</f>
        <v>7079.3777640000008</v>
      </c>
      <c r="G7" s="29">
        <f t="shared" si="0"/>
        <v>0.61258001826839648</v>
      </c>
    </row>
    <row r="8" spans="1:7" x14ac:dyDescent="0.3">
      <c r="A8" s="24">
        <v>45020</v>
      </c>
      <c r="B8" s="25" t="str">
        <f>VLOOKUP(A8,Planilha1!$1:$1048576,2,FALSE)</f>
        <v>Manutenção e reparação de veículos automotores</v>
      </c>
      <c r="C8" s="26">
        <v>1339.734747</v>
      </c>
      <c r="D8" s="26">
        <v>1385.0138159999999</v>
      </c>
      <c r="E8" s="26">
        <v>3909.11994</v>
      </c>
      <c r="F8" s="26">
        <f>SUM(C8:E8)</f>
        <v>6633.8685029999997</v>
      </c>
      <c r="G8" s="29">
        <f t="shared" si="0"/>
        <v>0.58926702243678775</v>
      </c>
    </row>
    <row r="9" spans="1:7" x14ac:dyDescent="0.3">
      <c r="A9" s="24">
        <v>49030</v>
      </c>
      <c r="B9" s="25" t="str">
        <f>VLOOKUP(A9,Planilha1!$1:$1048576,2,FALSE)</f>
        <v>Transporte rodoviário de passageiros</v>
      </c>
      <c r="C9" s="26">
        <v>1353.2759920000001</v>
      </c>
      <c r="D9" s="26">
        <v>2447.9432999999999</v>
      </c>
      <c r="E9" s="26">
        <v>3462.9537399999999</v>
      </c>
      <c r="F9" s="26">
        <f>SUM(C9:E9)</f>
        <v>7264.1730319999997</v>
      </c>
      <c r="G9" s="29">
        <f t="shared" si="0"/>
        <v>0.47671685747917358</v>
      </c>
    </row>
    <row r="10" spans="1:7" x14ac:dyDescent="0.3">
      <c r="A10" s="24">
        <v>48050</v>
      </c>
      <c r="B10" s="25" t="str">
        <f>VLOOKUP(A10,Planilha1!$1:$1048576,2,FALSE)</f>
        <v>Comércio de madeira, material de construção, ferragens e ferramentas</v>
      </c>
      <c r="C10" s="26">
        <v>330.24555900000001</v>
      </c>
      <c r="D10" s="26">
        <v>1150.8272689999999</v>
      </c>
      <c r="E10" s="26">
        <v>3441.4972899999998</v>
      </c>
      <c r="F10" s="26">
        <f>SUM(C10:E10)</f>
        <v>4922.5701179999996</v>
      </c>
      <c r="G10" s="29">
        <f t="shared" si="0"/>
        <v>0.69912610841554701</v>
      </c>
    </row>
    <row r="11" spans="1:7" x14ac:dyDescent="0.3">
      <c r="A11" s="24">
        <v>1201</v>
      </c>
      <c r="B11" s="25" t="str">
        <f>VLOOKUP(A11,Planilha1!$1:$1048576,2,FALSE)</f>
        <v>Criação de bovinos</v>
      </c>
      <c r="C11" s="26">
        <v>3204.623728</v>
      </c>
      <c r="D11" s="26">
        <v>1210.987533</v>
      </c>
      <c r="E11" s="26">
        <v>3311.36654</v>
      </c>
      <c r="F11" s="26">
        <f>SUM(C11:E11)</f>
        <v>7726.977801</v>
      </c>
      <c r="G11" s="29">
        <f t="shared" si="0"/>
        <v>0.42854614381983264</v>
      </c>
    </row>
    <row r="12" spans="1:7" x14ac:dyDescent="0.3">
      <c r="A12" s="24">
        <v>48071</v>
      </c>
      <c r="B12" s="25" t="str">
        <f>VLOOKUP(A12,Planilha1!$1:$1048576,2,FALSE)</f>
        <v>Comércio de produtos farmaceuticos, médicos, ortopédicos, odontológicos e de cosméticos e perfumaria</v>
      </c>
      <c r="C12" s="26">
        <v>2140.1406940000002</v>
      </c>
      <c r="D12" s="26">
        <v>899.65289099999995</v>
      </c>
      <c r="E12" s="26">
        <v>3162.6617200000001</v>
      </c>
      <c r="F12" s="26">
        <f>SUM(C12:E12)</f>
        <v>6202.4553050000004</v>
      </c>
      <c r="G12" s="29">
        <f t="shared" si="0"/>
        <v>0.50990479809672729</v>
      </c>
    </row>
    <row r="13" spans="1:7" x14ac:dyDescent="0.3">
      <c r="A13" s="27">
        <v>97000</v>
      </c>
      <c r="B13" s="25" t="str">
        <f>VLOOKUP(A13,Planilha1!$1:$1048576,2,FALSE)</f>
        <v>Serviços domésticos</v>
      </c>
      <c r="C13" s="26">
        <v>7538.5911759999999</v>
      </c>
      <c r="D13" s="26">
        <v>4016.5572069999998</v>
      </c>
      <c r="E13" s="26">
        <v>3138.7932999999998</v>
      </c>
      <c r="F13" s="26">
        <f>SUM(C13:E13)</f>
        <v>14693.941682999999</v>
      </c>
      <c r="G13" s="29">
        <f t="shared" si="0"/>
        <v>0.21361138949063568</v>
      </c>
    </row>
    <row r="14" spans="1:7" x14ac:dyDescent="0.3">
      <c r="A14" s="24">
        <v>84014</v>
      </c>
      <c r="B14" s="25" t="str">
        <f>VLOOKUP(A14,Planilha1!$1:$1048576,2,FALSE)</f>
        <v>Defesa</v>
      </c>
      <c r="C14" s="26">
        <v>999.36158599999999</v>
      </c>
      <c r="D14" s="26">
        <v>1607.582171</v>
      </c>
      <c r="E14" s="26">
        <v>2954.99586</v>
      </c>
      <c r="F14" s="26">
        <f>SUM(C14:E14)</f>
        <v>5561.939617</v>
      </c>
      <c r="G14" s="29">
        <f t="shared" si="0"/>
        <v>0.53128873441345736</v>
      </c>
    </row>
    <row r="15" spans="1:7" x14ac:dyDescent="0.3">
      <c r="A15" s="24">
        <v>84016</v>
      </c>
      <c r="B15" s="25" t="str">
        <f>VLOOKUP(A15,Planilha1!$1:$1048576,2,FALSE)</f>
        <v>Outros serviços coletivos prestados pela administração pública - Estadual</v>
      </c>
      <c r="C15" s="26">
        <v>4142.3183250000002</v>
      </c>
      <c r="D15" s="26">
        <v>2003.5893639999999</v>
      </c>
      <c r="E15" s="26">
        <v>2881.9308900000001</v>
      </c>
      <c r="F15" s="26">
        <f>SUM(C15:E15)</f>
        <v>9027.8385789999993</v>
      </c>
      <c r="G15" s="29">
        <f t="shared" si="0"/>
        <v>0.31922711785119529</v>
      </c>
    </row>
    <row r="16" spans="1:7" x14ac:dyDescent="0.3">
      <c r="A16" s="24">
        <v>43000</v>
      </c>
      <c r="B16" s="25" t="str">
        <f>VLOOKUP(A16,Planilha1!$1:$1048576,2,FALSE)</f>
        <v>Serviços especializados para construção</v>
      </c>
      <c r="C16" s="26">
        <v>1470.713591</v>
      </c>
      <c r="D16" s="26">
        <v>2300.5458979999999</v>
      </c>
      <c r="E16" s="26">
        <v>2425.0673499999998</v>
      </c>
      <c r="F16" s="26">
        <f>SUM(C16:E16)</f>
        <v>6196.3268389999994</v>
      </c>
      <c r="G16" s="29">
        <f t="shared" si="0"/>
        <v>0.39137176153079939</v>
      </c>
    </row>
    <row r="17" spans="1:7" x14ac:dyDescent="0.3">
      <c r="A17" s="24">
        <v>85012</v>
      </c>
      <c r="B17" s="25" t="str">
        <f>VLOOKUP(A17,Planilha1!$1:$1048576,2,FALSE)</f>
        <v>Pré-escola e ensino fundamental</v>
      </c>
      <c r="C17" s="26">
        <v>7148.4039670000002</v>
      </c>
      <c r="D17" s="26">
        <v>4108.7900760000002</v>
      </c>
      <c r="E17" s="26">
        <v>2214.2602900000002</v>
      </c>
      <c r="F17" s="26">
        <f>SUM(C17:E17)</f>
        <v>13471.454333</v>
      </c>
      <c r="G17" s="29">
        <f t="shared" si="0"/>
        <v>0.16436683339941216</v>
      </c>
    </row>
    <row r="18" spans="1:7" x14ac:dyDescent="0.3">
      <c r="A18" s="24">
        <v>49040</v>
      </c>
      <c r="B18" s="25" t="str">
        <f>VLOOKUP(A18,Planilha1!$1:$1048576,2,FALSE)</f>
        <v>Transporte rodoviário de carga</v>
      </c>
      <c r="C18" s="26">
        <v>724.10513700000001</v>
      </c>
      <c r="D18" s="26">
        <v>718.625629</v>
      </c>
      <c r="E18" s="26">
        <v>2083.0313500000002</v>
      </c>
      <c r="F18" s="26">
        <f>SUM(C18:E18)</f>
        <v>3525.7621160000003</v>
      </c>
      <c r="G18" s="29">
        <f t="shared" si="0"/>
        <v>0.59080314594882899</v>
      </c>
    </row>
    <row r="19" spans="1:7" x14ac:dyDescent="0.3">
      <c r="A19" s="24">
        <v>86001</v>
      </c>
      <c r="B19" s="25" t="str">
        <f>VLOOKUP(A19,Planilha1!$1:$1048576,2,FALSE)</f>
        <v>Atividades de atendimento hospitalar</v>
      </c>
      <c r="C19" s="26">
        <v>2137.36868</v>
      </c>
      <c r="D19" s="26">
        <v>1601.563357</v>
      </c>
      <c r="E19" s="26">
        <v>1978.9294600000001</v>
      </c>
      <c r="F19" s="26">
        <f>SUM(C19:E19)</f>
        <v>5717.8614969999999</v>
      </c>
      <c r="G19" s="29">
        <f t="shared" si="0"/>
        <v>0.3460960817323554</v>
      </c>
    </row>
    <row r="20" spans="1:7" x14ac:dyDescent="0.3">
      <c r="A20" s="24">
        <v>69000</v>
      </c>
      <c r="B20" s="25" t="str">
        <f>VLOOKUP(A20,Planilha1!$1:$1048576,2,FALSE)</f>
        <v xml:space="preserve">Atividades jurídicas, de contabilidade e de auditoria </v>
      </c>
      <c r="C20" s="26">
        <v>312.81812000000002</v>
      </c>
      <c r="D20" s="26">
        <v>1474.26963</v>
      </c>
      <c r="E20" s="26">
        <v>1880.50701</v>
      </c>
      <c r="F20" s="26">
        <f>SUM(C20:E20)</f>
        <v>3667.59476</v>
      </c>
      <c r="G20" s="29">
        <f t="shared" si="0"/>
        <v>0.51273576636912854</v>
      </c>
    </row>
    <row r="21" spans="1:7" x14ac:dyDescent="0.3">
      <c r="A21" s="24">
        <v>78000</v>
      </c>
      <c r="B21" s="25" t="str">
        <f>VLOOKUP(A21,Planilha1!$1:$1048576,2,FALSE)</f>
        <v>Seleção, agenciamento e locação de mão-de-obra</v>
      </c>
      <c r="C21" s="26">
        <v>2220.075585</v>
      </c>
      <c r="D21" s="26">
        <v>4804.8595919999998</v>
      </c>
      <c r="E21" s="26">
        <v>1778.65572</v>
      </c>
      <c r="F21" s="26">
        <f>SUM(C21:E21)</f>
        <v>8803.590897</v>
      </c>
      <c r="G21" s="29">
        <f t="shared" si="0"/>
        <v>0.2020375254609017</v>
      </c>
    </row>
    <row r="22" spans="1:7" x14ac:dyDescent="0.3">
      <c r="A22" s="24">
        <v>86002</v>
      </c>
      <c r="B22" s="25" t="str">
        <f>VLOOKUP(A22,Planilha1!$1:$1048576,2,FALSE)</f>
        <v>Atividades de atenção ambulatorial executadas por médicos e odontólogos</v>
      </c>
      <c r="C22" s="26">
        <v>975.05425500000001</v>
      </c>
      <c r="D22" s="26">
        <v>2980.701693</v>
      </c>
      <c r="E22" s="26">
        <v>1757.26766</v>
      </c>
      <c r="F22" s="26">
        <f>SUM(C22:E22)</f>
        <v>5713.0236079999995</v>
      </c>
      <c r="G22" s="29">
        <f t="shared" si="0"/>
        <v>0.30758977742351384</v>
      </c>
    </row>
    <row r="23" spans="1:7" x14ac:dyDescent="0.3">
      <c r="A23" s="24">
        <v>48073</v>
      </c>
      <c r="B23" s="25" t="str">
        <f>VLOOKUP(A23,Planilha1!$1:$1048576,2,FALSE)</f>
        <v>Comércio de eletrodomésticos, móveis e outros artigos de residência</v>
      </c>
      <c r="C23" s="26">
        <v>465.18319000000002</v>
      </c>
      <c r="D23" s="26">
        <v>360.89586000000003</v>
      </c>
      <c r="E23" s="26">
        <v>1672.6751099999999</v>
      </c>
      <c r="F23" s="26">
        <f>SUM(C23:E23)</f>
        <v>2498.75416</v>
      </c>
      <c r="G23" s="29">
        <f t="shared" si="0"/>
        <v>0.66940363192832064</v>
      </c>
    </row>
    <row r="24" spans="1:7" x14ac:dyDescent="0.3">
      <c r="A24" s="24">
        <v>81011</v>
      </c>
      <c r="B24" s="25" t="str">
        <f>VLOOKUP(A24,Planilha1!$1:$1048576,2,FALSE)</f>
        <v>Serviços de limpeza e de apoio a edifícios, exceto condomínios prediais</v>
      </c>
      <c r="C24" s="26">
        <v>790.81078000000002</v>
      </c>
      <c r="D24" s="26">
        <v>2180.7805290000001</v>
      </c>
      <c r="E24" s="26">
        <v>1570.1505400000001</v>
      </c>
      <c r="F24" s="26">
        <f>SUM(C24:E24)</f>
        <v>4541.741849</v>
      </c>
      <c r="G24" s="29">
        <f t="shared" si="0"/>
        <v>0.34571549687389552</v>
      </c>
    </row>
    <row r="25" spans="1:7" x14ac:dyDescent="0.3">
      <c r="A25" s="24">
        <v>96020</v>
      </c>
      <c r="B25" s="25" t="str">
        <f>VLOOKUP(A25,Planilha1!$1:$1048576,2,FALSE)</f>
        <v>Cabeleireiros e outras atividades de tratamento de beleza</v>
      </c>
      <c r="C25" s="26">
        <v>3566.1229279999998</v>
      </c>
      <c r="D25" s="26">
        <v>1727.9380080000001</v>
      </c>
      <c r="E25" s="26">
        <v>1551.2209</v>
      </c>
      <c r="F25" s="26">
        <f>SUM(C25:E25)</f>
        <v>6845.2818360000001</v>
      </c>
      <c r="G25" s="29">
        <f t="shared" si="0"/>
        <v>0.2266116921354471</v>
      </c>
    </row>
    <row r="26" spans="1:7" x14ac:dyDescent="0.3">
      <c r="A26" s="24">
        <v>48060</v>
      </c>
      <c r="B26" s="25" t="str">
        <f>VLOOKUP(A26,Planilha1!$1:$1048576,2,FALSE)</f>
        <v>Comércio de combustíveis para veículos automotores</v>
      </c>
      <c r="C26" s="26">
        <v>926.52073800000005</v>
      </c>
      <c r="D26" s="26">
        <v>101.61784299999999</v>
      </c>
      <c r="E26" s="26">
        <v>1478.90705</v>
      </c>
      <c r="F26" s="26">
        <f>SUM(C26:E26)</f>
        <v>2507.045631</v>
      </c>
      <c r="G26" s="29">
        <f t="shared" si="0"/>
        <v>0.58990033197365443</v>
      </c>
    </row>
    <row r="27" spans="1:7" x14ac:dyDescent="0.3">
      <c r="A27" s="24">
        <v>1116</v>
      </c>
      <c r="B27" s="25" t="str">
        <f>VLOOKUP(A27,Planilha1!$1:$1048576,2,FALSE)</f>
        <v>Cultivo de banana</v>
      </c>
      <c r="C27" s="26">
        <v>1340.4242260000001</v>
      </c>
      <c r="D27" s="26">
        <v>1529.0325089999999</v>
      </c>
      <c r="E27" s="26">
        <v>1285.8081500000001</v>
      </c>
      <c r="F27" s="26">
        <f>SUM(C27:E27)</f>
        <v>4155.2648849999996</v>
      </c>
      <c r="G27" s="29">
        <f t="shared" si="0"/>
        <v>0.30944071812163187</v>
      </c>
    </row>
    <row r="28" spans="1:7" x14ac:dyDescent="0.3">
      <c r="A28" s="24">
        <v>45010</v>
      </c>
      <c r="B28" s="25" t="str">
        <f>VLOOKUP(A28,Planilha1!$1:$1048576,2,FALSE)</f>
        <v>Comércio de veículos automotores</v>
      </c>
      <c r="C28" s="26">
        <v>124.016322</v>
      </c>
      <c r="D28" s="26">
        <v>814.76924499999996</v>
      </c>
      <c r="E28" s="26">
        <v>1280.6476299999999</v>
      </c>
      <c r="F28" s="26">
        <f>SUM(C28:E28)</f>
        <v>2219.4331969999998</v>
      </c>
      <c r="G28" s="29">
        <f t="shared" si="0"/>
        <v>0.57701562350741031</v>
      </c>
    </row>
    <row r="29" spans="1:7" x14ac:dyDescent="0.3">
      <c r="A29" s="24">
        <v>95030</v>
      </c>
      <c r="B29" s="25" t="str">
        <f>VLOOKUP(A29,Planilha1!$1:$1048576,2,FALSE)</f>
        <v>Reparação e manutenção de objetos e equipamentos pessoais e domésticos</v>
      </c>
      <c r="C29" s="26">
        <v>460.65577400000001</v>
      </c>
      <c r="D29" s="26">
        <v>73.147406000000004</v>
      </c>
      <c r="E29" s="26">
        <v>1190.55583</v>
      </c>
      <c r="F29" s="26">
        <f>SUM(C29:E29)</f>
        <v>1724.3590100000001</v>
      </c>
      <c r="G29" s="29">
        <f t="shared" si="0"/>
        <v>0.69043384996724078</v>
      </c>
    </row>
    <row r="30" spans="1:7" x14ac:dyDescent="0.3">
      <c r="A30" s="24">
        <v>42000</v>
      </c>
      <c r="B30" s="25" t="str">
        <f>VLOOKUP(A30,Planilha1!$1:$1048576,2,FALSE)</f>
        <v>Construção de obras de infra-estrutura</v>
      </c>
      <c r="C30" s="26">
        <v>250.80684600000001</v>
      </c>
      <c r="D30" s="26">
        <v>666.212583</v>
      </c>
      <c r="E30" s="26">
        <v>1164.84761</v>
      </c>
      <c r="F30" s="26">
        <f>SUM(C30:E30)</f>
        <v>2081.8670389999997</v>
      </c>
      <c r="G30" s="29">
        <f t="shared" si="0"/>
        <v>0.55952065534383066</v>
      </c>
    </row>
    <row r="31" spans="1:7" x14ac:dyDescent="0.3">
      <c r="A31" s="24">
        <v>56012</v>
      </c>
      <c r="B31" s="25" t="str">
        <f>VLOOKUP(A31,Planilha1!$1:$1048576,2,FALSE)</f>
        <v>Serviços de catering, bufê e outros serviços de comida preparada</v>
      </c>
      <c r="C31" s="26">
        <v>1776.35843</v>
      </c>
      <c r="D31" s="26">
        <v>269.86046800000003</v>
      </c>
      <c r="E31" s="26">
        <v>1061.2627299999999</v>
      </c>
      <c r="F31" s="26">
        <f>SUM(C31:E31)</f>
        <v>3107.481628</v>
      </c>
      <c r="G31" s="29">
        <f t="shared" si="0"/>
        <v>0.34151858548011338</v>
      </c>
    </row>
    <row r="32" spans="1:7" x14ac:dyDescent="0.3">
      <c r="A32" s="24">
        <v>31000</v>
      </c>
      <c r="B32" s="25" t="str">
        <f>VLOOKUP(A32,Planilha1!$1:$1048576,2,FALSE)</f>
        <v>Fabricação de móveis</v>
      </c>
      <c r="C32" s="26">
        <v>83.535809999999998</v>
      </c>
      <c r="D32" s="26">
        <v>714.40598999999997</v>
      </c>
      <c r="E32" s="26">
        <v>1036.6925699999999</v>
      </c>
      <c r="F32" s="26">
        <f>SUM(C32:E32)</f>
        <v>1834.6343699999998</v>
      </c>
      <c r="G32" s="29">
        <f t="shared" si="0"/>
        <v>0.56506767067707342</v>
      </c>
    </row>
    <row r="33" spans="1:7" x14ac:dyDescent="0.3">
      <c r="A33" s="24">
        <v>25001</v>
      </c>
      <c r="B33" s="25" t="str">
        <f>VLOOKUP(A33,Planilha1!$1:$1048576,2,FALSE)</f>
        <v>Fabricação de produtos de metal, exceto máquinas e equipamentos</v>
      </c>
      <c r="C33" s="26">
        <v>66.102474000000001</v>
      </c>
      <c r="D33" s="26">
        <v>111.75047600000001</v>
      </c>
      <c r="E33" s="26">
        <v>1021.25654</v>
      </c>
      <c r="F33" s="26">
        <f>SUM(C33:E33)</f>
        <v>1199.1094900000001</v>
      </c>
      <c r="G33" s="29">
        <f t="shared" si="0"/>
        <v>0.85167914065962391</v>
      </c>
    </row>
    <row r="34" spans="1:7" x14ac:dyDescent="0.3">
      <c r="A34" s="24">
        <v>84012</v>
      </c>
      <c r="B34" s="25" t="str">
        <f>VLOOKUP(A34,Planilha1!$1:$1048576,2,FALSE)</f>
        <v>Administração publica e regulação da política econômica e social - Estadual</v>
      </c>
      <c r="C34" s="26">
        <v>6867.813623</v>
      </c>
      <c r="D34" s="26">
        <v>4884.1134009999996</v>
      </c>
      <c r="E34" s="26">
        <v>943.98481000000004</v>
      </c>
      <c r="F34" s="26">
        <f>SUM(C34:E34)</f>
        <v>12695.911834</v>
      </c>
      <c r="G34" s="29">
        <f t="shared" si="0"/>
        <v>7.435344718383935E-2</v>
      </c>
    </row>
    <row r="35" spans="1:7" x14ac:dyDescent="0.3">
      <c r="A35" s="24">
        <v>48079</v>
      </c>
      <c r="B35" s="25" t="str">
        <f>VLOOKUP(A35,Planilha1!$1:$1048576,2,FALSE)</f>
        <v>Comércio de produtos novos não especificados anteriormente</v>
      </c>
      <c r="C35" s="26">
        <v>937.20028000000002</v>
      </c>
      <c r="D35" s="26">
        <v>314.39618200000001</v>
      </c>
      <c r="E35" s="26">
        <v>893.83141000000001</v>
      </c>
      <c r="F35" s="26">
        <f>SUM(C35:E35)</f>
        <v>2145.4278720000002</v>
      </c>
      <c r="G35" s="29">
        <f t="shared" si="0"/>
        <v>0.41662151483412813</v>
      </c>
    </row>
    <row r="36" spans="1:7" x14ac:dyDescent="0.3">
      <c r="A36" s="24">
        <v>45040</v>
      </c>
      <c r="B36" s="25" t="str">
        <f>VLOOKUP(A36,Planilha1!$1:$1048576,2,FALSE)</f>
        <v>Comércio, manutenção e reparação de motocicletas, peças e acessórios</v>
      </c>
      <c r="C36" s="26">
        <v>0</v>
      </c>
      <c r="D36" s="26">
        <v>652.13713800000005</v>
      </c>
      <c r="E36" s="26">
        <v>777.71804999999995</v>
      </c>
      <c r="F36" s="26">
        <f>SUM(C36:E36)</f>
        <v>1429.855188</v>
      </c>
      <c r="G36" s="29">
        <f t="shared" si="0"/>
        <v>0.54391385682058313</v>
      </c>
    </row>
    <row r="37" spans="1:7" x14ac:dyDescent="0.3">
      <c r="A37" s="24">
        <v>56020</v>
      </c>
      <c r="B37" s="25" t="str">
        <f>VLOOKUP(A37,Planilha1!$1:$1048576,2,FALSE)</f>
        <v>Serviços ambulantes de alimentação</v>
      </c>
      <c r="C37" s="26">
        <v>1588.14843</v>
      </c>
      <c r="D37" s="26">
        <v>0</v>
      </c>
      <c r="E37" s="26">
        <v>743.49662999999998</v>
      </c>
      <c r="F37" s="26">
        <f>SUM(C37:E37)</f>
        <v>2331.6450599999998</v>
      </c>
      <c r="G37" s="29">
        <f t="shared" si="0"/>
        <v>0.31887213142123788</v>
      </c>
    </row>
    <row r="38" spans="1:7" x14ac:dyDescent="0.3">
      <c r="A38" s="24">
        <v>85013</v>
      </c>
      <c r="B38" s="25" t="str">
        <f>VLOOKUP(A38,Planilha1!$1:$1048576,2,FALSE)</f>
        <v>Ensino médio</v>
      </c>
      <c r="C38" s="26">
        <v>3045.0486799999999</v>
      </c>
      <c r="D38" s="26">
        <v>1974.271673</v>
      </c>
      <c r="E38" s="26">
        <v>735.41471000000001</v>
      </c>
      <c r="F38" s="26">
        <f>SUM(C38:E38)</f>
        <v>5754.7350630000001</v>
      </c>
      <c r="G38" s="29">
        <f t="shared" si="0"/>
        <v>0.12779297429838951</v>
      </c>
    </row>
    <row r="39" spans="1:7" x14ac:dyDescent="0.3">
      <c r="A39" s="24">
        <v>45030</v>
      </c>
      <c r="B39" s="25" t="str">
        <f>VLOOKUP(A39,Planilha1!$1:$1048576,2,FALSE)</f>
        <v>Comércio de peças e acessórios para veículos automotores</v>
      </c>
      <c r="C39" s="26">
        <v>0</v>
      </c>
      <c r="D39" s="26">
        <v>115.425889</v>
      </c>
      <c r="E39" s="26">
        <v>718.19934999999998</v>
      </c>
      <c r="F39" s="26">
        <f>SUM(C39:E39)</f>
        <v>833.62523899999997</v>
      </c>
      <c r="G39" s="29">
        <f t="shared" si="0"/>
        <v>0.86153743480888056</v>
      </c>
    </row>
    <row r="40" spans="1:7" x14ac:dyDescent="0.3">
      <c r="A40" s="24">
        <v>48074</v>
      </c>
      <c r="B40" s="25" t="str">
        <f>VLOOKUP(A40,Planilha1!$1:$1048576,2,FALSE)</f>
        <v>Comércio de equipamentos e produtos de tecnologias de informação e comunicação</v>
      </c>
      <c r="C40" s="26">
        <v>781.23763399999996</v>
      </c>
      <c r="D40" s="26">
        <v>181.20531800000001</v>
      </c>
      <c r="E40" s="26">
        <v>695.73139000000003</v>
      </c>
      <c r="F40" s="26">
        <f>SUM(C40:E40)</f>
        <v>1658.174342</v>
      </c>
      <c r="G40" s="29">
        <f t="shared" si="0"/>
        <v>0.41957674315527432</v>
      </c>
    </row>
    <row r="41" spans="1:7" x14ac:dyDescent="0.3">
      <c r="A41" s="24">
        <v>35010</v>
      </c>
      <c r="B41" s="25" t="str">
        <f>VLOOKUP(A41,Planilha1!$1:$1048576,2,FALSE)</f>
        <v>Geração, transmissão e distribuição de energia elétrica</v>
      </c>
      <c r="C41" s="26">
        <v>572.26005599999996</v>
      </c>
      <c r="D41" s="26">
        <v>1337.8065710000001</v>
      </c>
      <c r="E41" s="26">
        <v>683.82435999999996</v>
      </c>
      <c r="F41" s="26">
        <f>SUM(C41:E41)</f>
        <v>2593.8909870000002</v>
      </c>
      <c r="G41" s="29">
        <f t="shared" si="0"/>
        <v>0.26362879682576262</v>
      </c>
    </row>
    <row r="42" spans="1:7" x14ac:dyDescent="0.3">
      <c r="A42" s="24">
        <v>10010</v>
      </c>
      <c r="B42" s="25" t="str">
        <f>VLOOKUP(A42,Planilha1!$1:$1048576,2,FALSE)</f>
        <v xml:space="preserve">Abate e fabricação de produtos de carne e pescado </v>
      </c>
      <c r="C42" s="26">
        <v>755.74093900000003</v>
      </c>
      <c r="D42" s="26">
        <v>0</v>
      </c>
      <c r="E42" s="26">
        <v>673.71550000000002</v>
      </c>
      <c r="F42" s="26">
        <f>SUM(C42:E42)</f>
        <v>1429.456439</v>
      </c>
      <c r="G42" s="29">
        <f t="shared" si="0"/>
        <v>0.47130887071403788</v>
      </c>
    </row>
    <row r="43" spans="1:7" x14ac:dyDescent="0.3">
      <c r="A43" s="24">
        <v>7001</v>
      </c>
      <c r="B43" s="25" t="str">
        <f>VLOOKUP(A43,Planilha1!$1:$1048576,2,FALSE)</f>
        <v>Extração de minérios de metais preciosos</v>
      </c>
      <c r="C43" s="26">
        <v>0</v>
      </c>
      <c r="D43" s="26">
        <v>101.08289600000001</v>
      </c>
      <c r="E43" s="26">
        <v>660.31178999999997</v>
      </c>
      <c r="F43" s="26">
        <f>SUM(C43:E43)</f>
        <v>761.39468599999998</v>
      </c>
      <c r="G43" s="29">
        <f t="shared" si="0"/>
        <v>0.86723981942789652</v>
      </c>
    </row>
    <row r="44" spans="1:7" x14ac:dyDescent="0.3">
      <c r="A44" s="24">
        <v>1117</v>
      </c>
      <c r="B44" s="25" t="str">
        <f>VLOOKUP(A44,Planilha1!$1:$1048576,2,FALSE)</f>
        <v>Cultivo de outras plantas e frutas de lavoura permanente não especificadas anteriormente</v>
      </c>
      <c r="C44" s="26">
        <v>205.49539200000001</v>
      </c>
      <c r="D44" s="26">
        <v>134.47756699999999</v>
      </c>
      <c r="E44" s="26">
        <v>658.67080999999996</v>
      </c>
      <c r="F44" s="26">
        <f>SUM(C44:E44)</f>
        <v>998.64376900000002</v>
      </c>
      <c r="G44" s="29">
        <f t="shared" si="0"/>
        <v>0.65956533295107356</v>
      </c>
    </row>
    <row r="45" spans="1:7" x14ac:dyDescent="0.3">
      <c r="A45" s="24">
        <v>95010</v>
      </c>
      <c r="B45" s="25" t="str">
        <f>VLOOKUP(A45,Planilha1!$1:$1048576,2,FALSE)</f>
        <v>Reparação e manutenção de equipamentos de informática e comunicação</v>
      </c>
      <c r="C45" s="26">
        <v>360.25059599999997</v>
      </c>
      <c r="D45" s="26">
        <v>0</v>
      </c>
      <c r="E45" s="26">
        <v>627.87207000000001</v>
      </c>
      <c r="F45" s="26">
        <f>SUM(C45:E45)</f>
        <v>988.12266599999998</v>
      </c>
      <c r="G45" s="29">
        <f t="shared" si="0"/>
        <v>0.63541915554035067</v>
      </c>
    </row>
    <row r="46" spans="1:7" x14ac:dyDescent="0.3">
      <c r="A46" s="24">
        <v>10022</v>
      </c>
      <c r="B46" s="25" t="str">
        <f>VLOOKUP(A46,Planilha1!$1:$1048576,2,FALSE)</f>
        <v>Fabricação de óleos vegetais e gorduras vegetais e animais</v>
      </c>
      <c r="C46" s="26">
        <v>0</v>
      </c>
      <c r="D46" s="26">
        <v>58.704822999999998</v>
      </c>
      <c r="E46" s="26">
        <v>577.73635000000002</v>
      </c>
      <c r="F46" s="26">
        <f>SUM(C46:E46)</f>
        <v>636.44117300000005</v>
      </c>
      <c r="G46" s="29">
        <f t="shared" si="0"/>
        <v>0.90776080258402758</v>
      </c>
    </row>
    <row r="47" spans="1:7" x14ac:dyDescent="0.3">
      <c r="A47" s="24">
        <v>68000</v>
      </c>
      <c r="B47" s="25" t="str">
        <f>VLOOKUP(A47,Planilha1!$1:$1048576,2,FALSE)</f>
        <v>Atividades imobiliárias</v>
      </c>
      <c r="C47" s="26">
        <v>0</v>
      </c>
      <c r="D47" s="26">
        <v>0</v>
      </c>
      <c r="E47" s="26">
        <v>572.72191999999995</v>
      </c>
      <c r="F47" s="26">
        <f>SUM(C47:E47)</f>
        <v>572.72191999999995</v>
      </c>
      <c r="G47" s="29">
        <f t="shared" si="0"/>
        <v>1</v>
      </c>
    </row>
    <row r="48" spans="1:7" x14ac:dyDescent="0.3">
      <c r="A48" s="24">
        <v>2000</v>
      </c>
      <c r="B48" s="25" t="str">
        <f>VLOOKUP(A48,Planilha1!$1:$1048576,2,FALSE)</f>
        <v xml:space="preserve">Produção florestal </v>
      </c>
      <c r="C48" s="26">
        <v>310.58597600000002</v>
      </c>
      <c r="D48" s="26">
        <v>82.358579000000006</v>
      </c>
      <c r="E48" s="26">
        <v>565.78494000000001</v>
      </c>
      <c r="F48" s="26">
        <f>SUM(C48:E48)</f>
        <v>958.72949500000004</v>
      </c>
      <c r="G48" s="29">
        <f t="shared" si="0"/>
        <v>0.59014032941585881</v>
      </c>
    </row>
    <row r="49" spans="1:7" x14ac:dyDescent="0.3">
      <c r="A49" s="24">
        <v>48075</v>
      </c>
      <c r="B49" s="25" t="str">
        <f>VLOOKUP(A49,Planilha1!$1:$1048576,2,FALSE)</f>
        <v xml:space="preserve">Comércio de máquinas, aparelhos e equipamentos, exceto eletrodomésticos </v>
      </c>
      <c r="C49" s="26">
        <v>0</v>
      </c>
      <c r="D49" s="26">
        <v>1012.730922</v>
      </c>
      <c r="E49" s="26">
        <v>547.96906999999999</v>
      </c>
      <c r="F49" s="26">
        <f>SUM(C49:E49)</f>
        <v>1560.6999919999998</v>
      </c>
      <c r="G49" s="29">
        <f t="shared" si="0"/>
        <v>0.35110467918808064</v>
      </c>
    </row>
    <row r="50" spans="1:7" x14ac:dyDescent="0.3">
      <c r="A50" s="24">
        <v>84013</v>
      </c>
      <c r="B50" s="25" t="str">
        <f>VLOOKUP(A50,Planilha1!$1:$1048576,2,FALSE)</f>
        <v>Administração publica e regulação da política econômica e social - Municipal</v>
      </c>
      <c r="C50" s="26">
        <v>3832.6565639999999</v>
      </c>
      <c r="D50" s="26">
        <v>3250.6191370000001</v>
      </c>
      <c r="E50" s="26">
        <v>530.57205999999996</v>
      </c>
      <c r="F50" s="26">
        <f>SUM(C50:E50)</f>
        <v>7613.8477610000009</v>
      </c>
      <c r="G50" s="29">
        <f t="shared" si="0"/>
        <v>6.9685141685879304E-2</v>
      </c>
    </row>
    <row r="51" spans="1:7" x14ac:dyDescent="0.3">
      <c r="A51" s="24">
        <v>48076</v>
      </c>
      <c r="B51" s="25" t="str">
        <f>VLOOKUP(A51,Planilha1!$1:$1048576,2,FALSE)</f>
        <v>Comércio de combustíveis sólidos, líquidos e gasosos, exceto para veículos automotores</v>
      </c>
      <c r="C51" s="26">
        <v>83.869136999999995</v>
      </c>
      <c r="D51" s="26">
        <v>0</v>
      </c>
      <c r="E51" s="26">
        <v>529.54627000000005</v>
      </c>
      <c r="F51" s="26">
        <f>SUM(C51:E51)</f>
        <v>613.41540700000007</v>
      </c>
      <c r="G51" s="29">
        <f t="shared" si="0"/>
        <v>0.86327513778929255</v>
      </c>
    </row>
    <row r="52" spans="1:7" x14ac:dyDescent="0.3">
      <c r="A52" s="24">
        <v>48020</v>
      </c>
      <c r="B52" s="25" t="str">
        <f>VLOOKUP(A52,Planilha1!$1:$1048576,2,FALSE)</f>
        <v>Comércio de matérias-primas agrícolas e animais vivos</v>
      </c>
      <c r="C52" s="26">
        <v>0</v>
      </c>
      <c r="D52" s="26">
        <v>193.32152300000001</v>
      </c>
      <c r="E52" s="26">
        <v>521.27153999999996</v>
      </c>
      <c r="F52" s="26">
        <f>SUM(C52:E52)</f>
        <v>714.59306300000003</v>
      </c>
      <c r="G52" s="29">
        <f t="shared" si="0"/>
        <v>0.72946627526945351</v>
      </c>
    </row>
    <row r="53" spans="1:7" x14ac:dyDescent="0.3">
      <c r="A53" s="24">
        <v>1205</v>
      </c>
      <c r="B53" s="25" t="str">
        <f>VLOOKUP(A53,Planilha1!$1:$1048576,2,FALSE)</f>
        <v>Criação de aves</v>
      </c>
      <c r="C53" s="26">
        <v>0</v>
      </c>
      <c r="D53" s="26">
        <v>423.03640999999999</v>
      </c>
      <c r="E53" s="26">
        <v>516.83110999999997</v>
      </c>
      <c r="F53" s="26">
        <f>SUM(C53:E53)</f>
        <v>939.86752000000001</v>
      </c>
      <c r="G53" s="29">
        <f t="shared" si="0"/>
        <v>0.54989783028144212</v>
      </c>
    </row>
    <row r="54" spans="1:7" x14ac:dyDescent="0.3">
      <c r="A54" s="24">
        <v>85029</v>
      </c>
      <c r="B54" s="25" t="str">
        <f>VLOOKUP(A54,Planilha1!$1:$1048576,2,FALSE)</f>
        <v>Outras atividades de ensino</v>
      </c>
      <c r="C54" s="26">
        <v>934.588707</v>
      </c>
      <c r="D54" s="26">
        <v>350.36897299999998</v>
      </c>
      <c r="E54" s="26">
        <v>501.76405999999997</v>
      </c>
      <c r="F54" s="26">
        <f>SUM(C54:E54)</f>
        <v>1786.72174</v>
      </c>
      <c r="G54" s="29">
        <f t="shared" si="0"/>
        <v>0.28082943682097916</v>
      </c>
    </row>
    <row r="55" spans="1:7" x14ac:dyDescent="0.3">
      <c r="A55" s="24">
        <v>62000</v>
      </c>
      <c r="B55" s="25" t="str">
        <f>VLOOKUP(A55,Planilha1!$1:$1048576,2,FALSE)</f>
        <v>Atividades dos serviços de tecnologia da informação</v>
      </c>
      <c r="C55" s="26">
        <v>430.82865700000002</v>
      </c>
      <c r="D55" s="26">
        <v>0</v>
      </c>
      <c r="E55" s="26">
        <v>493.75128000000001</v>
      </c>
      <c r="F55" s="26">
        <f>SUM(C55:E55)</f>
        <v>924.57993699999997</v>
      </c>
      <c r="G55" s="29">
        <f t="shared" si="0"/>
        <v>0.53402768137288714</v>
      </c>
    </row>
    <row r="56" spans="1:7" x14ac:dyDescent="0.3">
      <c r="A56" s="24">
        <v>3001</v>
      </c>
      <c r="B56" s="25" t="str">
        <f>VLOOKUP(A56,Planilha1!$1:$1048576,2,FALSE)</f>
        <v>Pesca</v>
      </c>
      <c r="C56" s="26">
        <v>673.58614299999999</v>
      </c>
      <c r="D56" s="26">
        <v>262.89658600000001</v>
      </c>
      <c r="E56" s="26">
        <v>470.04955999999999</v>
      </c>
      <c r="F56" s="26">
        <f>SUM(C56:E56)</f>
        <v>1406.532289</v>
      </c>
      <c r="G56" s="29">
        <f t="shared" si="0"/>
        <v>0.33419037989820366</v>
      </c>
    </row>
    <row r="57" spans="1:7" x14ac:dyDescent="0.3">
      <c r="A57" s="24">
        <v>48072</v>
      </c>
      <c r="B57" s="25" t="str">
        <f>VLOOKUP(A57,Planilha1!$1:$1048576,2,FALSE)</f>
        <v>Comércio de artigos de escritório e de papelaria; livros, jornais e outras publicações</v>
      </c>
      <c r="C57" s="26">
        <v>0</v>
      </c>
      <c r="D57" s="26">
        <v>229.78215499999999</v>
      </c>
      <c r="E57" s="26">
        <v>468.06560999999999</v>
      </c>
      <c r="F57" s="26">
        <f>SUM(C57:E57)</f>
        <v>697.84776499999998</v>
      </c>
      <c r="G57" s="29">
        <f t="shared" si="0"/>
        <v>0.67072738994872327</v>
      </c>
    </row>
    <row r="58" spans="1:7" x14ac:dyDescent="0.3">
      <c r="A58" s="24">
        <v>1108</v>
      </c>
      <c r="B58" s="25" t="str">
        <f>VLOOKUP(A58,Planilha1!$1:$1048576,2,FALSE)</f>
        <v>Cultivo de mandioca</v>
      </c>
      <c r="C58" s="26">
        <v>729.50166300000001</v>
      </c>
      <c r="D58" s="26">
        <v>171.63484</v>
      </c>
      <c r="E58" s="26">
        <v>465.89125999999999</v>
      </c>
      <c r="F58" s="26">
        <f>SUM(C58:E58)</f>
        <v>1367.027763</v>
      </c>
      <c r="G58" s="29">
        <f t="shared" si="0"/>
        <v>0.34080599722245725</v>
      </c>
    </row>
    <row r="59" spans="1:7" x14ac:dyDescent="0.3">
      <c r="A59" s="24">
        <v>80000</v>
      </c>
      <c r="B59" s="25" t="str">
        <f>VLOOKUP(A59,Planilha1!$1:$1048576,2,FALSE)</f>
        <v>Atividades de vigilância, segurança, transporte de valores e investigação</v>
      </c>
      <c r="C59" s="26">
        <v>895.64213600000005</v>
      </c>
      <c r="D59" s="26">
        <v>605.05621299999996</v>
      </c>
      <c r="E59" s="26">
        <v>442.78861000000001</v>
      </c>
      <c r="F59" s="26">
        <f>SUM(C59:E59)</f>
        <v>1943.4869590000001</v>
      </c>
      <c r="G59" s="29">
        <f t="shared" si="0"/>
        <v>0.22783204587481876</v>
      </c>
    </row>
    <row r="60" spans="1:7" x14ac:dyDescent="0.3">
      <c r="A60" s="24">
        <v>23091</v>
      </c>
      <c r="B60" s="25" t="str">
        <f>VLOOKUP(A60,Planilha1!$1:$1048576,2,FALSE)</f>
        <v>Fabricação de produtos cerâmicos</v>
      </c>
      <c r="C60" s="26">
        <v>0</v>
      </c>
      <c r="D60" s="26">
        <v>16.664556999999999</v>
      </c>
      <c r="E60" s="26">
        <v>436.99930999999998</v>
      </c>
      <c r="F60" s="26">
        <f>SUM(C60:E60)</f>
        <v>453.66386699999998</v>
      </c>
      <c r="G60" s="29">
        <f t="shared" si="0"/>
        <v>0.9632667306960111</v>
      </c>
    </row>
    <row r="61" spans="1:7" x14ac:dyDescent="0.3">
      <c r="A61" s="24">
        <v>94091</v>
      </c>
      <c r="B61" s="25" t="str">
        <f>VLOOKUP(A61,Planilha1!$1:$1048576,2,FALSE)</f>
        <v>Atividades de organizações religiosas e filosóficas</v>
      </c>
      <c r="C61" s="26">
        <v>0</v>
      </c>
      <c r="D61" s="26">
        <v>0</v>
      </c>
      <c r="E61" s="26">
        <v>424.83188999999999</v>
      </c>
      <c r="F61" s="26">
        <f>SUM(C61:E61)</f>
        <v>424.83188999999999</v>
      </c>
      <c r="G61" s="29">
        <f t="shared" si="0"/>
        <v>1</v>
      </c>
    </row>
    <row r="62" spans="1:7" x14ac:dyDescent="0.3">
      <c r="A62" s="24">
        <v>52020</v>
      </c>
      <c r="B62" s="25" t="str">
        <f>VLOOKUP(A62,Planilha1!$1:$1048576,2,FALSE)</f>
        <v xml:space="preserve">Atividades auxiliares dos transportes e atividades relacionadas à organização do transporte de carga </v>
      </c>
      <c r="C62" s="26">
        <v>0</v>
      </c>
      <c r="D62" s="26">
        <v>107.800167</v>
      </c>
      <c r="E62" s="26">
        <v>361.90485999999999</v>
      </c>
      <c r="F62" s="26">
        <f>SUM(C62:E62)</f>
        <v>469.70502699999997</v>
      </c>
      <c r="G62" s="29">
        <f t="shared" si="0"/>
        <v>0.7704939040390556</v>
      </c>
    </row>
    <row r="63" spans="1:7" x14ac:dyDescent="0.3">
      <c r="A63" s="24">
        <v>1109</v>
      </c>
      <c r="B63" s="25" t="str">
        <f>VLOOKUP(A63,Planilha1!$1:$1048576,2,FALSE)</f>
        <v>Cultivo de outras lavouras temporárias não especificadas anteriormente</v>
      </c>
      <c r="C63" s="26">
        <v>71.954314999999994</v>
      </c>
      <c r="D63" s="26">
        <v>23.443549000000001</v>
      </c>
      <c r="E63" s="26">
        <v>357.6619</v>
      </c>
      <c r="F63" s="26">
        <f>SUM(C63:E63)</f>
        <v>453.05976399999997</v>
      </c>
      <c r="G63" s="29">
        <f t="shared" si="0"/>
        <v>0.78943646825366731</v>
      </c>
    </row>
    <row r="64" spans="1:7" x14ac:dyDescent="0.3">
      <c r="A64" s="24">
        <v>86004</v>
      </c>
      <c r="B64" s="25" t="str">
        <f>VLOOKUP(A64,Planilha1!$1:$1048576,2,FALSE)</f>
        <v>Atividades de profissionais da área de saúde, exceto médicos e odontólogos</v>
      </c>
      <c r="C64" s="26">
        <v>447.65279399999997</v>
      </c>
      <c r="D64" s="26">
        <v>402.129007</v>
      </c>
      <c r="E64" s="26">
        <v>348.07333</v>
      </c>
      <c r="F64" s="26">
        <f>SUM(C64:E64)</f>
        <v>1197.855131</v>
      </c>
      <c r="G64" s="29">
        <f t="shared" si="0"/>
        <v>0.29058048923613949</v>
      </c>
    </row>
    <row r="65" spans="1:7" x14ac:dyDescent="0.3">
      <c r="A65" s="24">
        <v>70000</v>
      </c>
      <c r="B65" s="25" t="str">
        <f>VLOOKUP(A65,Planilha1!$1:$1048576,2,FALSE)</f>
        <v>Atividades de consultoria em gestão empresarial</v>
      </c>
      <c r="C65" s="26">
        <v>0</v>
      </c>
      <c r="D65" s="26">
        <v>0</v>
      </c>
      <c r="E65" s="26">
        <v>335.92862000000002</v>
      </c>
      <c r="F65" s="26">
        <f>SUM(C65:E65)</f>
        <v>335.92862000000002</v>
      </c>
      <c r="G65" s="29">
        <f t="shared" si="0"/>
        <v>1</v>
      </c>
    </row>
    <row r="66" spans="1:7" x14ac:dyDescent="0.3">
      <c r="A66" s="24">
        <v>74000</v>
      </c>
      <c r="B66" s="25" t="str">
        <f>VLOOKUP(A66,Planilha1!$1:$1048576,2,FALSE)</f>
        <v>Outras atividades profissionais, científicas e técnicas não especificadas anteriormente</v>
      </c>
      <c r="C66" s="26">
        <v>323.09413699999999</v>
      </c>
      <c r="D66" s="26">
        <v>88.659366000000006</v>
      </c>
      <c r="E66" s="26">
        <v>327.61227000000002</v>
      </c>
      <c r="F66" s="26">
        <f>SUM(C66:E66)</f>
        <v>739.36577299999999</v>
      </c>
      <c r="G66" s="29">
        <f t="shared" si="0"/>
        <v>0.44309904781053483</v>
      </c>
    </row>
    <row r="67" spans="1:7" x14ac:dyDescent="0.3">
      <c r="A67" s="24">
        <v>64000</v>
      </c>
      <c r="B67" s="25" t="str">
        <f>VLOOKUP(A67,Planilha1!$1:$1048576,2,FALSE)</f>
        <v>Serviços financeiros</v>
      </c>
      <c r="C67" s="26">
        <v>999.75821699999995</v>
      </c>
      <c r="D67" s="26">
        <v>580.58256500000005</v>
      </c>
      <c r="E67" s="26">
        <v>323.2389</v>
      </c>
      <c r="F67" s="26">
        <f>SUM(C67:E67)</f>
        <v>1903.579682</v>
      </c>
      <c r="G67" s="29">
        <f t="shared" si="0"/>
        <v>0.16980581535751021</v>
      </c>
    </row>
    <row r="68" spans="1:7" x14ac:dyDescent="0.3">
      <c r="A68" s="24">
        <v>1107</v>
      </c>
      <c r="B68" s="25" t="str">
        <f>VLOOKUP(A68,Planilha1!$1:$1048576,2,FALSE)</f>
        <v>Cultivo de soja</v>
      </c>
      <c r="C68" s="26">
        <v>156.220078</v>
      </c>
      <c r="D68" s="26">
        <v>130.69198600000001</v>
      </c>
      <c r="E68" s="26">
        <v>316.77251000000001</v>
      </c>
      <c r="F68" s="26">
        <f>SUM(C68:E68)</f>
        <v>603.684574</v>
      </c>
      <c r="G68" s="29">
        <f t="shared" ref="G68:G131" si="1">E68/F68</f>
        <v>0.52473182791647743</v>
      </c>
    </row>
    <row r="69" spans="1:7" x14ac:dyDescent="0.3">
      <c r="A69" s="24">
        <v>48100</v>
      </c>
      <c r="B69" s="25" t="str">
        <f>VLOOKUP(A69,Planilha1!$1:$1048576,2,FALSE)</f>
        <v>Comércio ambulante e feiras</v>
      </c>
      <c r="C69" s="26">
        <v>481.40083299999998</v>
      </c>
      <c r="D69" s="26">
        <v>386.33860299999998</v>
      </c>
      <c r="E69" s="26">
        <v>303.35655000000003</v>
      </c>
      <c r="F69" s="26">
        <f>SUM(C69:E69)</f>
        <v>1171.095986</v>
      </c>
      <c r="G69" s="29">
        <f t="shared" si="1"/>
        <v>0.25903645271310838</v>
      </c>
    </row>
    <row r="70" spans="1:7" x14ac:dyDescent="0.3">
      <c r="A70" s="24">
        <v>16002</v>
      </c>
      <c r="B70" s="25" t="str">
        <f>VLOOKUP(A70,Planilha1!$1:$1048576,2,FALSE)</f>
        <v>Fabricação de produtos de madeira, cortiça e material trançado, exceto móveis</v>
      </c>
      <c r="C70" s="26">
        <v>94.129501000000005</v>
      </c>
      <c r="D70" s="26">
        <v>76.941695999999993</v>
      </c>
      <c r="E70" s="26">
        <v>301.49617000000001</v>
      </c>
      <c r="F70" s="26">
        <f>SUM(C70:E70)</f>
        <v>472.56736699999999</v>
      </c>
      <c r="G70" s="29">
        <f t="shared" si="1"/>
        <v>0.63799616954930372</v>
      </c>
    </row>
    <row r="71" spans="1:7" x14ac:dyDescent="0.3">
      <c r="A71" s="24">
        <v>82003</v>
      </c>
      <c r="B71" s="25" t="str">
        <f>VLOOKUP(A71,Planilha1!$1:$1048576,2,FALSE)</f>
        <v>Atividades de organização de eventos, exceto culturais e esportivos</v>
      </c>
      <c r="C71" s="26">
        <v>184.390626</v>
      </c>
      <c r="D71" s="26">
        <v>0</v>
      </c>
      <c r="E71" s="26">
        <v>282.1694</v>
      </c>
      <c r="F71" s="26">
        <f>SUM(C71:E71)</f>
        <v>466.56002599999999</v>
      </c>
      <c r="G71" s="29">
        <f t="shared" si="1"/>
        <v>0.60478691760018033</v>
      </c>
    </row>
    <row r="72" spans="1:7" x14ac:dyDescent="0.3">
      <c r="A72" s="24">
        <v>86003</v>
      </c>
      <c r="B72" s="25" t="str">
        <f>VLOOKUP(A72,Planilha1!$1:$1048576,2,FALSE)</f>
        <v>Atividades de serviços de complementação diagnóstica e terapêutica</v>
      </c>
      <c r="C72" s="26">
        <v>244.28784300000001</v>
      </c>
      <c r="D72" s="26">
        <v>86.542050000000003</v>
      </c>
      <c r="E72" s="26">
        <v>274.16072000000003</v>
      </c>
      <c r="F72" s="26">
        <f>SUM(C72:E72)</f>
        <v>604.99061300000005</v>
      </c>
      <c r="G72" s="29">
        <f t="shared" si="1"/>
        <v>0.45316524605316477</v>
      </c>
    </row>
    <row r="73" spans="1:7" x14ac:dyDescent="0.3">
      <c r="A73" s="24">
        <v>14002</v>
      </c>
      <c r="B73" s="25" t="str">
        <f>VLOOKUP(A73,Planilha1!$1:$1048576,2,FALSE)</f>
        <v>Confecção, sob medida, de artigos do vestuário</v>
      </c>
      <c r="C73" s="26">
        <v>397.87298900000002</v>
      </c>
      <c r="D73" s="26">
        <v>374.74994099999998</v>
      </c>
      <c r="E73" s="26">
        <v>263.25159000000002</v>
      </c>
      <c r="F73" s="26">
        <f>SUM(C73:E73)</f>
        <v>1035.8745200000001</v>
      </c>
      <c r="G73" s="29">
        <f t="shared" si="1"/>
        <v>0.25413463205948922</v>
      </c>
    </row>
    <row r="74" spans="1:7" x14ac:dyDescent="0.3">
      <c r="A74" s="24">
        <v>38000</v>
      </c>
      <c r="B74" s="25" t="str">
        <f>VLOOKUP(A74,Planilha1!$1:$1048576,2,FALSE)</f>
        <v>Coleta, tratamento e disposição de resíduos; recuperação de materiais</v>
      </c>
      <c r="C74" s="26">
        <v>0</v>
      </c>
      <c r="D74" s="26">
        <v>272.90419200000002</v>
      </c>
      <c r="E74" s="26">
        <v>249.95415</v>
      </c>
      <c r="F74" s="26">
        <f>SUM(C74:E74)</f>
        <v>522.85834199999999</v>
      </c>
      <c r="G74" s="29">
        <f t="shared" si="1"/>
        <v>0.47805328885811293</v>
      </c>
    </row>
    <row r="75" spans="1:7" x14ac:dyDescent="0.3">
      <c r="A75" s="24">
        <v>55000</v>
      </c>
      <c r="B75" s="25" t="str">
        <f>VLOOKUP(A75,Planilha1!$1:$1048576,2,FALSE)</f>
        <v>Alojamento</v>
      </c>
      <c r="C75" s="26">
        <v>0</v>
      </c>
      <c r="D75" s="26">
        <v>403.54064099999999</v>
      </c>
      <c r="E75" s="26">
        <v>228.73952</v>
      </c>
      <c r="F75" s="26">
        <f>SUM(C75:E75)</f>
        <v>632.28016100000002</v>
      </c>
      <c r="G75" s="29">
        <f t="shared" si="1"/>
        <v>0.36176925057751413</v>
      </c>
    </row>
    <row r="76" spans="1:7" x14ac:dyDescent="0.3">
      <c r="A76" s="24">
        <v>1401</v>
      </c>
      <c r="B76" s="25" t="str">
        <f>VLOOKUP(A76,Planilha1!$1:$1048576,2,FALSE)</f>
        <v>Atividades de apoio à agricultura e pós-colheita</v>
      </c>
      <c r="C76" s="26">
        <v>105.813422</v>
      </c>
      <c r="D76" s="26">
        <v>403.462154</v>
      </c>
      <c r="E76" s="26">
        <v>225.85851</v>
      </c>
      <c r="F76" s="26">
        <f>SUM(C76:E76)</f>
        <v>735.13408600000002</v>
      </c>
      <c r="G76" s="29">
        <f t="shared" si="1"/>
        <v>0.30723444103774011</v>
      </c>
    </row>
    <row r="77" spans="1:7" x14ac:dyDescent="0.3">
      <c r="A77" s="24">
        <v>23099</v>
      </c>
      <c r="B77" s="25" t="str">
        <f>VLOOKUP(A77,Planilha1!$1:$1048576,2,FALSE)</f>
        <v>Fabricação de outros produtos de minerais não-metálicos não especificados anteriormente</v>
      </c>
      <c r="C77" s="26">
        <v>104.058526</v>
      </c>
      <c r="D77" s="26">
        <v>111.04906</v>
      </c>
      <c r="E77" s="26">
        <v>214.47619</v>
      </c>
      <c r="F77" s="26">
        <f>SUM(C77:E77)</f>
        <v>429.583776</v>
      </c>
      <c r="G77" s="29">
        <f t="shared" si="1"/>
        <v>0.49926510725581963</v>
      </c>
    </row>
    <row r="78" spans="1:7" x14ac:dyDescent="0.3">
      <c r="A78" s="24">
        <v>73010</v>
      </c>
      <c r="B78" s="25" t="str">
        <f>VLOOKUP(A78,Planilha1!$1:$1048576,2,FALSE)</f>
        <v>Publicidade</v>
      </c>
      <c r="C78" s="26">
        <v>272.727012</v>
      </c>
      <c r="D78" s="26">
        <v>594.52417300000002</v>
      </c>
      <c r="E78" s="26">
        <v>210.27394000000001</v>
      </c>
      <c r="F78" s="26">
        <f>SUM(C78:E78)</f>
        <v>1077.5251250000001</v>
      </c>
      <c r="G78" s="29">
        <f t="shared" si="1"/>
        <v>0.19514527793493444</v>
      </c>
    </row>
    <row r="79" spans="1:7" x14ac:dyDescent="0.3">
      <c r="A79" s="24">
        <v>85014</v>
      </c>
      <c r="B79" s="25" t="str">
        <f>VLOOKUP(A79,Planilha1!$1:$1048576,2,FALSE)</f>
        <v>Educação superior</v>
      </c>
      <c r="C79" s="26">
        <v>1204.799178</v>
      </c>
      <c r="D79" s="26">
        <v>2207.306</v>
      </c>
      <c r="E79" s="26">
        <v>199.20218</v>
      </c>
      <c r="F79" s="26">
        <f>SUM(C79:E79)</f>
        <v>3611.307358</v>
      </c>
      <c r="G79" s="29">
        <f t="shared" si="1"/>
        <v>5.5160682891948962E-2</v>
      </c>
    </row>
    <row r="80" spans="1:7" x14ac:dyDescent="0.3">
      <c r="A80" s="24">
        <v>18000</v>
      </c>
      <c r="B80" s="25" t="str">
        <f>VLOOKUP(A80,Planilha1!$1:$1048576,2,FALSE)</f>
        <v>Impressão e reprodução de gravações</v>
      </c>
      <c r="C80" s="26">
        <v>0</v>
      </c>
      <c r="D80" s="26">
        <v>0</v>
      </c>
      <c r="E80" s="26">
        <v>198.67811</v>
      </c>
      <c r="F80" s="26">
        <f>SUM(C80:E80)</f>
        <v>198.67811</v>
      </c>
      <c r="G80" s="29">
        <f t="shared" si="1"/>
        <v>1</v>
      </c>
    </row>
    <row r="81" spans="1:7" x14ac:dyDescent="0.3">
      <c r="A81" s="24">
        <v>71000</v>
      </c>
      <c r="B81" s="25" t="str">
        <f>VLOOKUP(A81,Planilha1!$1:$1048576,2,FALSE)</f>
        <v>Serviços de arquitetura e engenharia e atividades técnicas relacionadas; Testes e análises técnicas</v>
      </c>
      <c r="C81" s="26">
        <v>107.007999</v>
      </c>
      <c r="D81" s="26">
        <v>396.28863200000001</v>
      </c>
      <c r="E81" s="26">
        <v>187.23557</v>
      </c>
      <c r="F81" s="26">
        <f>SUM(C81:E81)</f>
        <v>690.53220099999999</v>
      </c>
      <c r="G81" s="29">
        <f t="shared" si="1"/>
        <v>0.2711467614817285</v>
      </c>
    </row>
    <row r="82" spans="1:7" x14ac:dyDescent="0.3">
      <c r="A82" s="24">
        <v>51000</v>
      </c>
      <c r="B82" s="25" t="str">
        <f>VLOOKUP(A82,Planilha1!$1:$1048576,2,FALSE)</f>
        <v>Transporte Aéreo</v>
      </c>
      <c r="C82" s="26">
        <v>0</v>
      </c>
      <c r="D82" s="26">
        <v>0</v>
      </c>
      <c r="E82" s="26">
        <v>185.96782999999999</v>
      </c>
      <c r="F82" s="26">
        <f>SUM(C82:E82)</f>
        <v>185.96782999999999</v>
      </c>
      <c r="G82" s="29">
        <f t="shared" si="1"/>
        <v>1</v>
      </c>
    </row>
    <row r="83" spans="1:7" x14ac:dyDescent="0.3">
      <c r="A83" s="24">
        <v>1110</v>
      </c>
      <c r="B83" s="25" t="str">
        <f>VLOOKUP(A83,Planilha1!$1:$1048576,2,FALSE)</f>
        <v>Horticultura</v>
      </c>
      <c r="C83" s="26">
        <v>33.183281000000001</v>
      </c>
      <c r="D83" s="26">
        <v>886.59685400000001</v>
      </c>
      <c r="E83" s="26">
        <v>181.38862</v>
      </c>
      <c r="F83" s="26">
        <f>SUM(C83:E83)</f>
        <v>1101.1687549999999</v>
      </c>
      <c r="G83" s="29">
        <f t="shared" si="1"/>
        <v>0.16472372574719488</v>
      </c>
    </row>
    <row r="84" spans="1:7" x14ac:dyDescent="0.3">
      <c r="A84" s="24">
        <v>93012</v>
      </c>
      <c r="B84" s="25" t="str">
        <f>VLOOKUP(A84,Planilha1!$1:$1048576,2,FALSE)</f>
        <v>Atividades de condicionamento físico</v>
      </c>
      <c r="C84" s="26">
        <v>448.357485</v>
      </c>
      <c r="D84" s="26">
        <v>586.93763799999999</v>
      </c>
      <c r="E84" s="26">
        <v>173.96951000000001</v>
      </c>
      <c r="F84" s="26">
        <f>SUM(C84:E84)</f>
        <v>1209.2646329999998</v>
      </c>
      <c r="G84" s="29">
        <f t="shared" si="1"/>
        <v>0.14386388657411436</v>
      </c>
    </row>
    <row r="85" spans="1:7" x14ac:dyDescent="0.3">
      <c r="A85" s="24">
        <v>75000</v>
      </c>
      <c r="B85" s="25" t="str">
        <f>VLOOKUP(A85,Planilha1!$1:$1048576,2,FALSE)</f>
        <v>Atividades veterinárias</v>
      </c>
      <c r="C85" s="26">
        <v>0</v>
      </c>
      <c r="D85" s="26">
        <v>98.082897000000003</v>
      </c>
      <c r="E85" s="26">
        <v>171.79258999999999</v>
      </c>
      <c r="F85" s="26">
        <f>SUM(C85:E85)</f>
        <v>269.87548700000002</v>
      </c>
      <c r="G85" s="29">
        <f t="shared" si="1"/>
        <v>0.63656240850062817</v>
      </c>
    </row>
    <row r="86" spans="1:7" x14ac:dyDescent="0.3">
      <c r="A86" s="24">
        <v>8001</v>
      </c>
      <c r="B86" s="25" t="str">
        <f>VLOOKUP(A86,Planilha1!$1:$1048576,2,FALSE)</f>
        <v>Extração de pedras, areia e argila</v>
      </c>
      <c r="C86" s="26">
        <v>0</v>
      </c>
      <c r="D86" s="26">
        <v>0</v>
      </c>
      <c r="E86" s="26">
        <v>165.15074000000001</v>
      </c>
      <c r="F86" s="26">
        <f>SUM(C86:E86)</f>
        <v>165.15074000000001</v>
      </c>
      <c r="G86" s="29">
        <f t="shared" si="1"/>
        <v>1</v>
      </c>
    </row>
    <row r="87" spans="1:7" x14ac:dyDescent="0.3">
      <c r="A87" s="24">
        <v>77010</v>
      </c>
      <c r="B87" s="25" t="str">
        <f>VLOOKUP(A87,Planilha1!$1:$1048576,2,FALSE)</f>
        <v>Aluguel de objetos pessoais e domésticos</v>
      </c>
      <c r="C87" s="26">
        <v>0</v>
      </c>
      <c r="D87" s="26">
        <v>94.667670999999999</v>
      </c>
      <c r="E87" s="26">
        <v>159.65459999999999</v>
      </c>
      <c r="F87" s="26">
        <f>SUM(C87:E87)</f>
        <v>254.322271</v>
      </c>
      <c r="G87" s="29">
        <f t="shared" si="1"/>
        <v>0.62776491957324487</v>
      </c>
    </row>
    <row r="88" spans="1:7" x14ac:dyDescent="0.3">
      <c r="A88" s="24">
        <v>48078</v>
      </c>
      <c r="B88" s="25" t="str">
        <f>VLOOKUP(A88,Planilha1!$1:$1048576,2,FALSE)</f>
        <v>Comercio de residuos e sucatas</v>
      </c>
      <c r="C88" s="26">
        <v>0</v>
      </c>
      <c r="D88" s="26">
        <v>257.25349299999999</v>
      </c>
      <c r="E88" s="26">
        <v>150.08391</v>
      </c>
      <c r="F88" s="26">
        <f>SUM(C88:E88)</f>
        <v>407.33740299999999</v>
      </c>
      <c r="G88" s="29">
        <f t="shared" si="1"/>
        <v>0.36845108967319656</v>
      </c>
    </row>
    <row r="89" spans="1:7" x14ac:dyDescent="0.3">
      <c r="A89" s="24">
        <v>1102</v>
      </c>
      <c r="B89" s="25" t="str">
        <f>VLOOKUP(A89,Planilha1!$1:$1048576,2,FALSE)</f>
        <v>Cultivo de milho</v>
      </c>
      <c r="C89" s="26">
        <v>263.54288300000002</v>
      </c>
      <c r="D89" s="26">
        <v>159.717862</v>
      </c>
      <c r="E89" s="26">
        <v>149.18188000000001</v>
      </c>
      <c r="F89" s="26">
        <f>SUM(C89:E89)</f>
        <v>572.44262500000002</v>
      </c>
      <c r="G89" s="29">
        <f t="shared" si="1"/>
        <v>0.2606058205396567</v>
      </c>
    </row>
    <row r="90" spans="1:7" x14ac:dyDescent="0.3">
      <c r="A90" s="24">
        <v>1204</v>
      </c>
      <c r="B90" s="25" t="str">
        <f>VLOOKUP(A90,Planilha1!$1:$1048576,2,FALSE)</f>
        <v>Criação de suínos</v>
      </c>
      <c r="C90" s="26">
        <v>0</v>
      </c>
      <c r="D90" s="26">
        <v>0</v>
      </c>
      <c r="E90" s="26">
        <v>148.19057000000001</v>
      </c>
      <c r="F90" s="26">
        <f>SUM(C90:E90)</f>
        <v>148.19057000000001</v>
      </c>
      <c r="G90" s="29">
        <f t="shared" si="1"/>
        <v>1</v>
      </c>
    </row>
    <row r="91" spans="1:7" x14ac:dyDescent="0.3">
      <c r="A91" s="24">
        <v>48090</v>
      </c>
      <c r="B91" s="25" t="str">
        <f>VLOOKUP(A91,Planilha1!$1:$1048576,2,FALSE)</f>
        <v>Lojas de departamento e outros comércios não especializados, sem predominância de produtos alimentícios</v>
      </c>
      <c r="C91" s="26">
        <v>130.277579</v>
      </c>
      <c r="D91" s="26">
        <v>0</v>
      </c>
      <c r="E91" s="26">
        <v>146.22239999999999</v>
      </c>
      <c r="F91" s="26">
        <f>SUM(C91:E91)</f>
        <v>276.499979</v>
      </c>
      <c r="G91" s="29">
        <f t="shared" si="1"/>
        <v>0.52883331322061333</v>
      </c>
    </row>
    <row r="92" spans="1:7" x14ac:dyDescent="0.3">
      <c r="A92" s="24">
        <v>61000</v>
      </c>
      <c r="B92" s="25" t="str">
        <f>VLOOKUP(A92,Planilha1!$1:$1048576,2,FALSE)</f>
        <v>Telecomunicações</v>
      </c>
      <c r="C92" s="26">
        <v>319.05383599999999</v>
      </c>
      <c r="D92" s="26">
        <v>0</v>
      </c>
      <c r="E92" s="26">
        <v>136.86994999999999</v>
      </c>
      <c r="F92" s="26">
        <f>SUM(C92:E92)</f>
        <v>455.92378599999995</v>
      </c>
      <c r="G92" s="29">
        <f t="shared" si="1"/>
        <v>0.30020357393680708</v>
      </c>
    </row>
    <row r="93" spans="1:7" x14ac:dyDescent="0.3">
      <c r="A93" s="24">
        <v>11000</v>
      </c>
      <c r="B93" s="25" t="str">
        <f>VLOOKUP(A93,Planilha1!$1:$1048576,2,FALSE)</f>
        <v>Fabricação de bebidas</v>
      </c>
      <c r="C93" s="26">
        <v>0</v>
      </c>
      <c r="D93" s="26">
        <v>0</v>
      </c>
      <c r="E93" s="26">
        <v>132.41460000000001</v>
      </c>
      <c r="F93" s="26">
        <f>SUM(C93:E93)</f>
        <v>132.41460000000001</v>
      </c>
      <c r="G93" s="29">
        <f t="shared" si="1"/>
        <v>1</v>
      </c>
    </row>
    <row r="94" spans="1:7" x14ac:dyDescent="0.3">
      <c r="A94" s="24">
        <v>88000</v>
      </c>
      <c r="B94" s="25" t="str">
        <f>VLOOKUP(A94,Planilha1!$1:$1048576,2,FALSE)</f>
        <v>Serviços de assistência social sem alojamento</v>
      </c>
      <c r="C94" s="26">
        <v>220.715945</v>
      </c>
      <c r="D94" s="26">
        <v>445.51936499999999</v>
      </c>
      <c r="E94" s="26">
        <v>126.52486</v>
      </c>
      <c r="F94" s="26">
        <f>SUM(C94:E94)</f>
        <v>792.76017000000002</v>
      </c>
      <c r="G94" s="29">
        <f t="shared" si="1"/>
        <v>0.159600424930531</v>
      </c>
    </row>
    <row r="95" spans="1:7" x14ac:dyDescent="0.3">
      <c r="A95" s="24">
        <v>65000</v>
      </c>
      <c r="B95" s="25" t="str">
        <f>VLOOKUP(A95,Planilha1!$1:$1048576,2,FALSE)</f>
        <v>Seguros e previdência privada</v>
      </c>
      <c r="C95" s="26">
        <v>71.985848000000004</v>
      </c>
      <c r="D95" s="26">
        <v>0</v>
      </c>
      <c r="E95" s="26">
        <v>119.95062</v>
      </c>
      <c r="F95" s="26">
        <f>SUM(C95:E95)</f>
        <v>191.93646799999999</v>
      </c>
      <c r="G95" s="29">
        <f t="shared" si="1"/>
        <v>0.62494960572057623</v>
      </c>
    </row>
    <row r="96" spans="1:7" x14ac:dyDescent="0.3">
      <c r="A96" s="24">
        <v>10091</v>
      </c>
      <c r="B96" s="25" t="str">
        <f>VLOOKUP(A96,Planilha1!$1:$1048576,2,FALSE)</f>
        <v>Moagem, fabricação de produtos amiláceos e de alimentos para animais</v>
      </c>
      <c r="C96" s="26">
        <v>30.555247000000001</v>
      </c>
      <c r="D96" s="26">
        <v>0</v>
      </c>
      <c r="E96" s="26">
        <v>119.75206</v>
      </c>
      <c r="F96" s="26">
        <f>SUM(C96:E96)</f>
        <v>150.30730700000001</v>
      </c>
      <c r="G96" s="29">
        <f t="shared" si="1"/>
        <v>0.7967148263789996</v>
      </c>
    </row>
    <row r="97" spans="1:7" x14ac:dyDescent="0.3">
      <c r="A97" s="24">
        <v>60001</v>
      </c>
      <c r="B97" s="25" t="str">
        <f>VLOOKUP(A97,Planilha1!$1:$1048576,2,FALSE)</f>
        <v>Atividades de rádio</v>
      </c>
      <c r="C97" s="26">
        <v>0</v>
      </c>
      <c r="D97" s="26">
        <v>129.58938000000001</v>
      </c>
      <c r="E97" s="26">
        <v>117.30449</v>
      </c>
      <c r="F97" s="26">
        <f>SUM(C97:E97)</f>
        <v>246.89386999999999</v>
      </c>
      <c r="G97" s="29">
        <f t="shared" si="1"/>
        <v>0.47512111175542754</v>
      </c>
    </row>
    <row r="98" spans="1:7" x14ac:dyDescent="0.3">
      <c r="A98" s="24">
        <v>84017</v>
      </c>
      <c r="B98" s="25" t="str">
        <f>VLOOKUP(A98,Planilha1!$1:$1048576,2,FALSE)</f>
        <v>Outros serviços coletivos prestados pela administração pública - Municipal</v>
      </c>
      <c r="C98" s="26">
        <v>407.15771699999999</v>
      </c>
      <c r="D98" s="26">
        <v>271.55216300000001</v>
      </c>
      <c r="E98" s="26">
        <v>115.66919</v>
      </c>
      <c r="F98" s="26">
        <f>SUM(C98:E98)</f>
        <v>794.37906999999996</v>
      </c>
      <c r="G98" s="29">
        <f t="shared" si="1"/>
        <v>0.14560956395792252</v>
      </c>
    </row>
    <row r="99" spans="1:7" x14ac:dyDescent="0.3">
      <c r="A99" s="24">
        <v>16001</v>
      </c>
      <c r="B99" s="25" t="str">
        <f>VLOOKUP(A99,Planilha1!$1:$1048576,2,FALSE)</f>
        <v>Serrarias</v>
      </c>
      <c r="C99" s="26">
        <v>0</v>
      </c>
      <c r="D99" s="26">
        <v>111.216019</v>
      </c>
      <c r="E99" s="26">
        <v>111.29085000000001</v>
      </c>
      <c r="F99" s="26">
        <f>SUM(C99:E99)</f>
        <v>222.50686899999999</v>
      </c>
      <c r="G99" s="29">
        <f t="shared" si="1"/>
        <v>0.50016815435931561</v>
      </c>
    </row>
    <row r="100" spans="1:7" x14ac:dyDescent="0.3">
      <c r="A100" s="24">
        <v>13002</v>
      </c>
      <c r="B100" s="25" t="str">
        <f>VLOOKUP(A100,Planilha1!$1:$1048576,2,FALSE)</f>
        <v>Fabricação de artefatos têxteis, exceto vestuário</v>
      </c>
      <c r="C100" s="26">
        <v>228.498403</v>
      </c>
      <c r="D100" s="26">
        <v>111.290847</v>
      </c>
      <c r="E100" s="26">
        <v>109.05815</v>
      </c>
      <c r="F100" s="26">
        <f>SUM(C100:E100)</f>
        <v>448.84739999999999</v>
      </c>
      <c r="G100" s="29">
        <f t="shared" si="1"/>
        <v>0.24297378128958749</v>
      </c>
    </row>
    <row r="101" spans="1:7" x14ac:dyDescent="0.3">
      <c r="A101" s="24">
        <v>33002</v>
      </c>
      <c r="B101" s="25" t="str">
        <f>VLOOKUP(A101,Planilha1!$1:$1048576,2,FALSE)</f>
        <v>Instalação de máquinas e equipamentos</v>
      </c>
      <c r="C101" s="26">
        <v>0</v>
      </c>
      <c r="D101" s="26">
        <v>0</v>
      </c>
      <c r="E101" s="26">
        <v>94.814149999999998</v>
      </c>
      <c r="F101" s="26">
        <f>SUM(C101:E101)</f>
        <v>94.814149999999998</v>
      </c>
      <c r="G101" s="29">
        <f t="shared" si="1"/>
        <v>1</v>
      </c>
    </row>
    <row r="102" spans="1:7" x14ac:dyDescent="0.3">
      <c r="A102" s="24">
        <v>33001</v>
      </c>
      <c r="B102" s="25" t="str">
        <f>VLOOKUP(A102,Planilha1!$1:$1048576,2,FALSE)</f>
        <v>Manutenção e reparação de máquinas e equipamentos</v>
      </c>
      <c r="C102" s="26">
        <v>0</v>
      </c>
      <c r="D102" s="26">
        <v>234.868121</v>
      </c>
      <c r="E102" s="26">
        <v>93.197029999999998</v>
      </c>
      <c r="F102" s="26">
        <f>SUM(C102:E102)</f>
        <v>328.06515100000001</v>
      </c>
      <c r="G102" s="29">
        <f t="shared" si="1"/>
        <v>0.2840808592924885</v>
      </c>
    </row>
    <row r="103" spans="1:7" x14ac:dyDescent="0.3">
      <c r="A103" s="24">
        <v>96090</v>
      </c>
      <c r="B103" s="25" t="str">
        <f>VLOOKUP(A103,Planilha1!$1:$1048576,2,FALSE)</f>
        <v>Outras atividades de serviços pessoais</v>
      </c>
      <c r="C103" s="26">
        <v>105.331165</v>
      </c>
      <c r="D103" s="26">
        <v>0</v>
      </c>
      <c r="E103" s="26">
        <v>93.197029999999998</v>
      </c>
      <c r="F103" s="26">
        <f>SUM(C103:E103)</f>
        <v>198.52819499999998</v>
      </c>
      <c r="G103" s="29">
        <f t="shared" si="1"/>
        <v>0.46943976899603607</v>
      </c>
    </row>
    <row r="104" spans="1:7" x14ac:dyDescent="0.3">
      <c r="A104" s="24">
        <v>82009</v>
      </c>
      <c r="B104" s="25" t="str">
        <f>VLOOKUP(A104,Planilha1!$1:$1048576,2,FALSE)</f>
        <v>Outras atividades de serviços prestados principalmente às empresas</v>
      </c>
      <c r="C104" s="26">
        <v>408.08894900000001</v>
      </c>
      <c r="D104" s="26">
        <v>131.52883800000001</v>
      </c>
      <c r="E104" s="26">
        <v>91.612729999999999</v>
      </c>
      <c r="F104" s="26">
        <f>SUM(C104:E104)</f>
        <v>631.23051699999996</v>
      </c>
      <c r="G104" s="29">
        <f t="shared" si="1"/>
        <v>0.14513355665280678</v>
      </c>
    </row>
    <row r="105" spans="1:7" x14ac:dyDescent="0.3">
      <c r="A105" s="24">
        <v>87000</v>
      </c>
      <c r="B105" s="25" t="str">
        <f>VLOOKUP(A105,Planilha1!$1:$1048576,2,FALSE)</f>
        <v>Atividades de assistência à saude humana integradas com assistencia social, inclusive prestadas em residencias</v>
      </c>
      <c r="C105" s="26">
        <v>179.525621</v>
      </c>
      <c r="D105" s="26">
        <v>224.128905</v>
      </c>
      <c r="E105" s="26">
        <v>90.072659999999999</v>
      </c>
      <c r="F105" s="26">
        <f>SUM(C105:E105)</f>
        <v>493.72718600000002</v>
      </c>
      <c r="G105" s="29">
        <f t="shared" si="1"/>
        <v>0.18243406997645051</v>
      </c>
    </row>
    <row r="106" spans="1:7" x14ac:dyDescent="0.3">
      <c r="A106" s="24">
        <v>25002</v>
      </c>
      <c r="B106" s="25" t="str">
        <f>VLOOKUP(A106,Planilha1!$1:$1048576,2,FALSE)</f>
        <v>Forjaria, estamparia, metalurgia do pó e serviços de tratamento de metais</v>
      </c>
      <c r="C106" s="26">
        <v>0</v>
      </c>
      <c r="D106" s="26">
        <v>0</v>
      </c>
      <c r="E106" s="26">
        <v>86.400069999999999</v>
      </c>
      <c r="F106" s="26">
        <f>SUM(C106:E106)</f>
        <v>86.400069999999999</v>
      </c>
      <c r="G106" s="29">
        <f t="shared" si="1"/>
        <v>1</v>
      </c>
    </row>
    <row r="107" spans="1:7" x14ac:dyDescent="0.3">
      <c r="A107" s="24">
        <v>48041</v>
      </c>
      <c r="B107" s="25" t="str">
        <f>VLOOKUP(A107,Planilha1!$1:$1048576,2,FALSE)</f>
        <v>Comércio de tecidos, artefatos de tecidos e armarinho</v>
      </c>
      <c r="C107" s="26">
        <v>69.666729000000004</v>
      </c>
      <c r="D107" s="26">
        <v>0</v>
      </c>
      <c r="E107" s="26">
        <v>77.920699999999997</v>
      </c>
      <c r="F107" s="26">
        <f>SUM(C107:E107)</f>
        <v>147.58742899999999</v>
      </c>
      <c r="G107" s="29">
        <f t="shared" si="1"/>
        <v>0.52796298795881869</v>
      </c>
    </row>
    <row r="108" spans="1:7" x14ac:dyDescent="0.3">
      <c r="A108" s="24">
        <v>84011</v>
      </c>
      <c r="B108" s="25" t="str">
        <f>VLOOKUP(A108,Planilha1!$1:$1048576,2,FALSE)</f>
        <v>Administração publica e regulação da política econômica e social - Federal</v>
      </c>
      <c r="C108" s="26">
        <v>691.24532399999998</v>
      </c>
      <c r="D108" s="26">
        <v>1549.600117</v>
      </c>
      <c r="E108" s="26">
        <v>70.203569999999999</v>
      </c>
      <c r="F108" s="26">
        <f>SUM(C108:E108)</f>
        <v>2311.0490110000001</v>
      </c>
      <c r="G108" s="29">
        <f t="shared" si="1"/>
        <v>3.0377360958529668E-2</v>
      </c>
    </row>
    <row r="109" spans="1:7" x14ac:dyDescent="0.3">
      <c r="A109" s="24">
        <v>1202</v>
      </c>
      <c r="B109" s="25" t="str">
        <f>VLOOKUP(A109,Planilha1!$1:$1048576,2,FALSE)</f>
        <v>Criação de outros animais de grande porte não especificados anteriormente</v>
      </c>
      <c r="C109" s="26">
        <v>0</v>
      </c>
      <c r="D109" s="26">
        <v>0</v>
      </c>
      <c r="E109" s="26">
        <v>59.475050000000003</v>
      </c>
      <c r="F109" s="26">
        <f>SUM(C109:E109)</f>
        <v>59.475050000000003</v>
      </c>
      <c r="G109" s="29">
        <f t="shared" si="1"/>
        <v>1</v>
      </c>
    </row>
    <row r="110" spans="1:7" x14ac:dyDescent="0.3">
      <c r="A110" s="24">
        <v>81020</v>
      </c>
      <c r="B110" s="25" t="str">
        <f>VLOOKUP(A110,Planilha1!$1:$1048576,2,FALSE)</f>
        <v>Atividades paisagísticas</v>
      </c>
      <c r="C110" s="26">
        <v>0</v>
      </c>
      <c r="D110" s="26">
        <v>0</v>
      </c>
      <c r="E110" s="26">
        <v>57.973179999999999</v>
      </c>
      <c r="F110" s="26">
        <f>SUM(C110:E110)</f>
        <v>57.973179999999999</v>
      </c>
      <c r="G110" s="29">
        <f t="shared" si="1"/>
        <v>1</v>
      </c>
    </row>
    <row r="111" spans="1:7" x14ac:dyDescent="0.3">
      <c r="A111" s="24">
        <v>3002</v>
      </c>
      <c r="B111" s="25" t="str">
        <f>VLOOKUP(A111,Planilha1!$1:$1048576,2,FALSE)</f>
        <v>Aqüicultura</v>
      </c>
      <c r="C111" s="26">
        <v>13.645960000000001</v>
      </c>
      <c r="D111" s="26">
        <v>88.227209000000002</v>
      </c>
      <c r="E111" s="26">
        <v>25.317119999999999</v>
      </c>
      <c r="F111" s="26">
        <f>SUM(C111:E111)</f>
        <v>127.19028900000001</v>
      </c>
      <c r="G111" s="29">
        <f t="shared" si="1"/>
        <v>0.19904915854071215</v>
      </c>
    </row>
    <row r="112" spans="1:7" x14ac:dyDescent="0.3">
      <c r="A112" s="24">
        <v>1402</v>
      </c>
      <c r="B112" s="25" t="str">
        <f>VLOOKUP(A112,Planilha1!$1:$1048576,2,FALSE)</f>
        <v xml:space="preserve">Atividades de apoio à pecuária </v>
      </c>
      <c r="C112" s="26">
        <v>563.00543700000003</v>
      </c>
      <c r="D112" s="26">
        <v>417.09415999999999</v>
      </c>
      <c r="E112" s="26">
        <v>12.24245</v>
      </c>
      <c r="F112" s="26">
        <f>SUM(C112:E112)</f>
        <v>992.34204699999998</v>
      </c>
      <c r="G112" s="29">
        <f t="shared" si="1"/>
        <v>1.2336925596381587E-2</v>
      </c>
    </row>
    <row r="113" spans="1:7" x14ac:dyDescent="0.3">
      <c r="A113" s="24">
        <v>1112</v>
      </c>
      <c r="B113" s="25" t="str">
        <f>VLOOKUP(A113,Planilha1!$1:$1048576,2,FALSE)</f>
        <v>Cultivo de frutas cítricas</v>
      </c>
      <c r="C113" s="26">
        <v>87.965508999999997</v>
      </c>
      <c r="D113" s="26">
        <v>97.412560999999997</v>
      </c>
      <c r="E113" s="26">
        <v>0</v>
      </c>
      <c r="F113" s="26">
        <f>SUM(C113:E113)</f>
        <v>185.37806999999998</v>
      </c>
      <c r="G113" s="29">
        <f t="shared" si="1"/>
        <v>0</v>
      </c>
    </row>
    <row r="114" spans="1:7" x14ac:dyDescent="0.3">
      <c r="A114" s="24">
        <v>1114</v>
      </c>
      <c r="B114" s="25" t="str">
        <f>VLOOKUP(A114,Planilha1!$1:$1048576,2,FALSE)</f>
        <v>Cultivo de cacau</v>
      </c>
      <c r="C114" s="26">
        <v>44.039422999999999</v>
      </c>
      <c r="D114" s="26">
        <v>7.2329210000000002</v>
      </c>
      <c r="E114" s="26">
        <v>0</v>
      </c>
      <c r="F114" s="26">
        <f>SUM(C114:E114)</f>
        <v>51.272343999999997</v>
      </c>
      <c r="G114" s="29">
        <f t="shared" si="1"/>
        <v>0</v>
      </c>
    </row>
    <row r="115" spans="1:7" x14ac:dyDescent="0.3">
      <c r="A115" s="24">
        <v>10030</v>
      </c>
      <c r="B115" s="25" t="str">
        <f>VLOOKUP(A115,Planilha1!$1:$1048576,2,FALSE)</f>
        <v>Laticínios</v>
      </c>
      <c r="C115" s="26">
        <v>302.00232699999998</v>
      </c>
      <c r="D115" s="26">
        <v>0</v>
      </c>
      <c r="E115" s="26">
        <v>0</v>
      </c>
      <c r="F115" s="26">
        <f>SUM(C115:E115)</f>
        <v>302.00232699999998</v>
      </c>
      <c r="G115" s="29">
        <f t="shared" si="1"/>
        <v>0</v>
      </c>
    </row>
    <row r="116" spans="1:7" x14ac:dyDescent="0.3">
      <c r="A116" s="24">
        <v>10099</v>
      </c>
      <c r="B116" s="25" t="str">
        <f>VLOOKUP(A116,Planilha1!$1:$1048576,2,FALSE)</f>
        <v>Fabricação de outros produtos alimentícios</v>
      </c>
      <c r="C116" s="26">
        <v>119.171707</v>
      </c>
      <c r="D116" s="26">
        <v>508.902649</v>
      </c>
      <c r="E116" s="26">
        <v>0</v>
      </c>
      <c r="F116" s="26">
        <f>SUM(C116:E116)</f>
        <v>628.07435599999997</v>
      </c>
      <c r="G116" s="29">
        <f t="shared" si="1"/>
        <v>0</v>
      </c>
    </row>
    <row r="117" spans="1:7" x14ac:dyDescent="0.3">
      <c r="A117" s="24">
        <v>13001</v>
      </c>
      <c r="B117" s="25" t="str">
        <f>VLOOKUP(A117,Planilha1!$1:$1048576,2,FALSE)</f>
        <v>Preparação de fibras, fiação e tecelagem</v>
      </c>
      <c r="C117" s="26">
        <v>7.6655480000000003</v>
      </c>
      <c r="D117" s="26">
        <v>0</v>
      </c>
      <c r="E117" s="26">
        <v>0</v>
      </c>
      <c r="F117" s="26">
        <f>SUM(C117:E117)</f>
        <v>7.6655480000000003</v>
      </c>
      <c r="G117" s="29">
        <f t="shared" si="1"/>
        <v>0</v>
      </c>
    </row>
    <row r="118" spans="1:7" x14ac:dyDescent="0.3">
      <c r="A118" s="24">
        <v>14001</v>
      </c>
      <c r="B118" s="25" t="str">
        <f>VLOOKUP(A118,Planilha1!$1:$1048576,2,FALSE)</f>
        <v>Confecção de artigos do vestuário e acessórios, exceto sob medida</v>
      </c>
      <c r="C118" s="26">
        <v>227.42602500000001</v>
      </c>
      <c r="D118" s="26">
        <v>307.435856</v>
      </c>
      <c r="E118" s="26">
        <v>0</v>
      </c>
      <c r="F118" s="26">
        <f>SUM(C118:E118)</f>
        <v>534.86188100000004</v>
      </c>
      <c r="G118" s="29">
        <f t="shared" si="1"/>
        <v>0</v>
      </c>
    </row>
    <row r="119" spans="1:7" x14ac:dyDescent="0.3">
      <c r="A119" s="24">
        <v>17002</v>
      </c>
      <c r="B119" s="25" t="str">
        <f>VLOOKUP(A119,Planilha1!$1:$1048576,2,FALSE)</f>
        <v>Fabricação de embalagens e de produtos diversos de papel, cartolina, papel-cartão e papelão ondulado</v>
      </c>
      <c r="C119" s="26">
        <v>90.403458000000001</v>
      </c>
      <c r="D119" s="26">
        <v>74.887720000000002</v>
      </c>
      <c r="E119" s="26">
        <v>0</v>
      </c>
      <c r="F119" s="26">
        <f>SUM(C119:E119)</f>
        <v>165.291178</v>
      </c>
      <c r="G119" s="29">
        <f t="shared" si="1"/>
        <v>0</v>
      </c>
    </row>
    <row r="120" spans="1:7" x14ac:dyDescent="0.3">
      <c r="A120" s="24">
        <v>22020</v>
      </c>
      <c r="B120" s="25" t="str">
        <f>VLOOKUP(A120,Planilha1!$1:$1048576,2,FALSE)</f>
        <v>Fabricação de produtos de material plástico</v>
      </c>
      <c r="C120" s="26">
        <v>129.63803200000001</v>
      </c>
      <c r="D120" s="26">
        <v>0</v>
      </c>
      <c r="E120" s="26">
        <v>0</v>
      </c>
      <c r="F120" s="26">
        <f>SUM(C120:E120)</f>
        <v>129.63803200000001</v>
      </c>
      <c r="G120" s="29">
        <f t="shared" si="1"/>
        <v>0</v>
      </c>
    </row>
    <row r="121" spans="1:7" x14ac:dyDescent="0.3">
      <c r="A121" s="24">
        <v>26010</v>
      </c>
      <c r="B121" s="25" t="str">
        <f>VLOOKUP(A121,Planilha1!$1:$1048576,2,FALSE)</f>
        <v>Fabricação de componentes eletrônicos</v>
      </c>
      <c r="C121" s="26">
        <v>166.981854</v>
      </c>
      <c r="D121" s="26">
        <v>0</v>
      </c>
      <c r="E121" s="26">
        <v>0</v>
      </c>
      <c r="F121" s="26">
        <f>SUM(C121:E121)</f>
        <v>166.981854</v>
      </c>
      <c r="G121" s="29">
        <f t="shared" si="1"/>
        <v>0</v>
      </c>
    </row>
    <row r="122" spans="1:7" x14ac:dyDescent="0.3">
      <c r="A122" s="24">
        <v>32001</v>
      </c>
      <c r="B122" s="25" t="str">
        <f>VLOOKUP(A122,Planilha1!$1:$1048576,2,FALSE)</f>
        <v>Fabricação de artigos de joalheria, bijuteria e semelhantes</v>
      </c>
      <c r="C122" s="26">
        <v>105.59909500000001</v>
      </c>
      <c r="D122" s="26">
        <v>0</v>
      </c>
      <c r="E122" s="26">
        <v>0</v>
      </c>
      <c r="F122" s="26">
        <f>SUM(C122:E122)</f>
        <v>105.59909500000001</v>
      </c>
      <c r="G122" s="29">
        <f t="shared" si="1"/>
        <v>0</v>
      </c>
    </row>
    <row r="123" spans="1:7" x14ac:dyDescent="0.3">
      <c r="A123" s="24">
        <v>32009</v>
      </c>
      <c r="B123" s="25" t="str">
        <f>VLOOKUP(A123,Planilha1!$1:$1048576,2,FALSE)</f>
        <v>Fabricação de produtos diversos</v>
      </c>
      <c r="C123" s="26">
        <v>172.61679100000001</v>
      </c>
      <c r="D123" s="26">
        <v>0</v>
      </c>
      <c r="E123" s="26">
        <v>0</v>
      </c>
      <c r="F123" s="26">
        <f>SUM(C123:E123)</f>
        <v>172.61679100000001</v>
      </c>
      <c r="G123" s="29">
        <f t="shared" si="1"/>
        <v>0</v>
      </c>
    </row>
    <row r="124" spans="1:7" x14ac:dyDescent="0.3">
      <c r="A124" s="24">
        <v>36000</v>
      </c>
      <c r="B124" s="25" t="str">
        <f>VLOOKUP(A124,Planilha1!$1:$1048576,2,FALSE)</f>
        <v>Captação, tratamento e distribuição de água</v>
      </c>
      <c r="C124" s="26">
        <v>561.527241</v>
      </c>
      <c r="D124" s="26">
        <v>803.35440800000003</v>
      </c>
      <c r="E124" s="26">
        <v>0</v>
      </c>
      <c r="F124" s="26">
        <f>SUM(C124:E124)</f>
        <v>1364.8816489999999</v>
      </c>
      <c r="G124" s="29">
        <f t="shared" si="1"/>
        <v>0</v>
      </c>
    </row>
    <row r="125" spans="1:7" x14ac:dyDescent="0.3">
      <c r="A125" s="24">
        <v>52010</v>
      </c>
      <c r="B125" s="25" t="str">
        <f>VLOOKUP(A125,Planilha1!$1:$1048576,2,FALSE)</f>
        <v>Armazenamento, carga e descarga</v>
      </c>
      <c r="C125" s="26">
        <v>35.322893000000001</v>
      </c>
      <c r="D125" s="26">
        <v>0</v>
      </c>
      <c r="E125" s="26">
        <v>0</v>
      </c>
      <c r="F125" s="26">
        <f>SUM(C125:E125)</f>
        <v>35.322893000000001</v>
      </c>
      <c r="G125" s="29">
        <f t="shared" si="1"/>
        <v>0</v>
      </c>
    </row>
    <row r="126" spans="1:7" x14ac:dyDescent="0.3">
      <c r="A126" s="24">
        <v>53001</v>
      </c>
      <c r="B126" s="25" t="str">
        <f>VLOOKUP(A126,Planilha1!$1:$1048576,2,FALSE)</f>
        <v>Atividades de Correio</v>
      </c>
      <c r="C126" s="26">
        <v>0</v>
      </c>
      <c r="D126" s="26">
        <v>28.039023</v>
      </c>
      <c r="E126" s="26">
        <v>0</v>
      </c>
      <c r="F126" s="26">
        <f>SUM(C126:E126)</f>
        <v>28.039023</v>
      </c>
      <c r="G126" s="29">
        <f t="shared" si="1"/>
        <v>0</v>
      </c>
    </row>
    <row r="127" spans="1:7" x14ac:dyDescent="0.3">
      <c r="A127" s="24">
        <v>53002</v>
      </c>
      <c r="B127" s="25" t="str">
        <f>VLOOKUP(A127,Planilha1!$1:$1048576,2,FALSE)</f>
        <v>Atividades de malote e de entrega</v>
      </c>
      <c r="C127" s="26">
        <v>134.76660699999999</v>
      </c>
      <c r="D127" s="26">
        <v>434.005043</v>
      </c>
      <c r="E127" s="26">
        <v>0</v>
      </c>
      <c r="F127" s="26">
        <f>SUM(C127:E127)</f>
        <v>568.77165000000002</v>
      </c>
      <c r="G127" s="29">
        <f t="shared" si="1"/>
        <v>0</v>
      </c>
    </row>
    <row r="128" spans="1:7" x14ac:dyDescent="0.3">
      <c r="A128" s="24">
        <v>58000</v>
      </c>
      <c r="B128" s="25" t="str">
        <f>VLOOKUP(A128,Planilha1!$1:$1048576,2,FALSE)</f>
        <v xml:space="preserve">Edição e Edição integrada à impressão </v>
      </c>
      <c r="C128" s="26">
        <v>0</v>
      </c>
      <c r="D128" s="26">
        <v>257.47397699999999</v>
      </c>
      <c r="E128" s="26">
        <v>0</v>
      </c>
      <c r="F128" s="26">
        <f>SUM(C128:E128)</f>
        <v>257.47397699999999</v>
      </c>
      <c r="G128" s="29">
        <f t="shared" si="1"/>
        <v>0</v>
      </c>
    </row>
    <row r="129" spans="1:7" x14ac:dyDescent="0.3">
      <c r="A129" s="24">
        <v>60002</v>
      </c>
      <c r="B129" s="25" t="str">
        <f>VLOOKUP(A129,Planilha1!$1:$1048576,2,FALSE)</f>
        <v>Atividades de televisão</v>
      </c>
      <c r="C129" s="26">
        <v>0</v>
      </c>
      <c r="D129" s="26">
        <v>103.86923899999999</v>
      </c>
      <c r="E129" s="26">
        <v>0</v>
      </c>
      <c r="F129" s="26">
        <f>SUM(C129:E129)</f>
        <v>103.86923899999999</v>
      </c>
      <c r="G129" s="29">
        <f t="shared" si="1"/>
        <v>0</v>
      </c>
    </row>
    <row r="130" spans="1:7" x14ac:dyDescent="0.3">
      <c r="A130" s="24">
        <v>63000</v>
      </c>
      <c r="B130" s="25" t="str">
        <f>VLOOKUP(A130,Planilha1!$1:$1048576,2,FALSE)</f>
        <v>Atividades de prestação de serviços de informação</v>
      </c>
      <c r="C130" s="26">
        <v>197.338393</v>
      </c>
      <c r="D130" s="26">
        <v>0</v>
      </c>
      <c r="E130" s="26">
        <v>0</v>
      </c>
      <c r="F130" s="26">
        <f>SUM(C130:E130)</f>
        <v>197.338393</v>
      </c>
      <c r="G130" s="29">
        <f t="shared" si="1"/>
        <v>0</v>
      </c>
    </row>
    <row r="131" spans="1:7" x14ac:dyDescent="0.3">
      <c r="A131" s="24">
        <v>66002</v>
      </c>
      <c r="B131" s="25" t="str">
        <f>VLOOKUP(A131,Planilha1!$1:$1048576,2,FALSE)</f>
        <v>Atividades auxiliares dos seguros, da previdência complementar e dos planos de saúde</v>
      </c>
      <c r="C131" s="26">
        <v>58.539864000000001</v>
      </c>
      <c r="D131" s="26">
        <v>0</v>
      </c>
      <c r="E131" s="26">
        <v>0</v>
      </c>
      <c r="F131" s="26">
        <f>SUM(C131:E131)</f>
        <v>58.539864000000001</v>
      </c>
      <c r="G131" s="29">
        <f t="shared" si="1"/>
        <v>0</v>
      </c>
    </row>
    <row r="132" spans="1:7" x14ac:dyDescent="0.3">
      <c r="A132" s="24">
        <v>72000</v>
      </c>
      <c r="B132" s="25" t="str">
        <f>VLOOKUP(A132,Planilha1!$1:$1048576,2,FALSE)</f>
        <v>Pesquisa e desenvolvimento científico</v>
      </c>
      <c r="C132" s="26">
        <v>0</v>
      </c>
      <c r="D132" s="26">
        <v>335.33286700000002</v>
      </c>
      <c r="E132" s="26">
        <v>0</v>
      </c>
      <c r="F132" s="26">
        <f>SUM(C132:E132)</f>
        <v>335.33286700000002</v>
      </c>
      <c r="G132" s="29">
        <f t="shared" ref="G132:G141" si="2">E132/F132</f>
        <v>0</v>
      </c>
    </row>
    <row r="133" spans="1:7" x14ac:dyDescent="0.3">
      <c r="A133" s="24">
        <v>84015</v>
      </c>
      <c r="B133" s="25" t="str">
        <f>VLOOKUP(A133,Planilha1!$1:$1048576,2,FALSE)</f>
        <v>Outros serviços coletivos prestados pela administração pública - Federal</v>
      </c>
      <c r="C133" s="26">
        <v>125.815895</v>
      </c>
      <c r="D133" s="26">
        <v>0</v>
      </c>
      <c r="E133" s="26">
        <v>0</v>
      </c>
      <c r="F133" s="26">
        <f>SUM(C133:E133)</f>
        <v>125.815895</v>
      </c>
      <c r="G133" s="29">
        <f t="shared" si="2"/>
        <v>0</v>
      </c>
    </row>
    <row r="134" spans="1:7" x14ac:dyDescent="0.3">
      <c r="A134" s="24">
        <v>84020</v>
      </c>
      <c r="B134" s="25" t="str">
        <f>VLOOKUP(A134,Planilha1!$1:$1048576,2,FALSE)</f>
        <v>Seguridade social obrigatória</v>
      </c>
      <c r="C134" s="26">
        <v>653.32175800000005</v>
      </c>
      <c r="D134" s="26">
        <v>0</v>
      </c>
      <c r="E134" s="26">
        <v>0</v>
      </c>
      <c r="F134" s="26">
        <f>SUM(C134:E134)</f>
        <v>653.32175800000005</v>
      </c>
      <c r="G134" s="29">
        <f t="shared" si="2"/>
        <v>0</v>
      </c>
    </row>
    <row r="135" spans="1:7" x14ac:dyDescent="0.3">
      <c r="A135" s="24">
        <v>85011</v>
      </c>
      <c r="B135" s="25" t="str">
        <f>VLOOKUP(A135,Planilha1!$1:$1048576,2,FALSE)</f>
        <v>Creche</v>
      </c>
      <c r="C135" s="26">
        <v>584.83537999999999</v>
      </c>
      <c r="D135" s="26">
        <v>234.06443999999999</v>
      </c>
      <c r="E135" s="26">
        <v>0</v>
      </c>
      <c r="F135" s="26">
        <f>SUM(C135:E135)</f>
        <v>818.89981999999998</v>
      </c>
      <c r="G135" s="29">
        <f t="shared" si="2"/>
        <v>0</v>
      </c>
    </row>
    <row r="136" spans="1:7" x14ac:dyDescent="0.3">
      <c r="A136" s="24">
        <v>85021</v>
      </c>
      <c r="B136" s="25" t="str">
        <f>VLOOKUP(A136,Planilha1!$1:$1048576,2,FALSE)</f>
        <v>Serviços auxiliares à educação</v>
      </c>
      <c r="C136" s="26">
        <v>66.011013000000005</v>
      </c>
      <c r="D136" s="26">
        <v>0</v>
      </c>
      <c r="E136" s="26">
        <v>0</v>
      </c>
      <c r="F136" s="26">
        <f>SUM(C136:E136)</f>
        <v>66.011013000000005</v>
      </c>
      <c r="G136" s="29">
        <f t="shared" si="2"/>
        <v>0</v>
      </c>
    </row>
    <row r="137" spans="1:7" x14ac:dyDescent="0.3">
      <c r="A137" s="24">
        <v>86009</v>
      </c>
      <c r="B137" s="25" t="str">
        <f>VLOOKUP(A137,Planilha1!$1:$1048576,2,FALSE)</f>
        <v>Atividades de atenção à saúde humana não especificadas anteriormente</v>
      </c>
      <c r="C137" s="26">
        <v>103.059095</v>
      </c>
      <c r="D137" s="26">
        <v>0</v>
      </c>
      <c r="E137" s="26">
        <v>0</v>
      </c>
      <c r="F137" s="26">
        <f>SUM(C137:E137)</f>
        <v>103.059095</v>
      </c>
      <c r="G137" s="29">
        <f t="shared" si="2"/>
        <v>0</v>
      </c>
    </row>
    <row r="138" spans="1:7" x14ac:dyDescent="0.3">
      <c r="A138" s="24">
        <v>90000</v>
      </c>
      <c r="B138" s="25" t="str">
        <f>VLOOKUP(A138,Planilha1!$1:$1048576,2,FALSE)</f>
        <v>Atividades artísticas, criativas e de espetáculos</v>
      </c>
      <c r="C138" s="26">
        <v>211.83753400000001</v>
      </c>
      <c r="D138" s="26">
        <v>0</v>
      </c>
      <c r="E138" s="26">
        <v>0</v>
      </c>
      <c r="F138" s="26">
        <f>SUM(C138:E138)</f>
        <v>211.83753400000001</v>
      </c>
      <c r="G138" s="29">
        <f t="shared" si="2"/>
        <v>0</v>
      </c>
    </row>
    <row r="139" spans="1:7" x14ac:dyDescent="0.3">
      <c r="A139" s="24">
        <v>94010</v>
      </c>
      <c r="B139" s="25" t="str">
        <f>VLOOKUP(A139,Planilha1!$1:$1048576,2,FALSE)</f>
        <v>Atividades de organizações associativas patronais, empresariais e profissionais</v>
      </c>
      <c r="C139" s="26">
        <v>0</v>
      </c>
      <c r="D139" s="26">
        <v>126.544524</v>
      </c>
      <c r="E139" s="26">
        <v>0</v>
      </c>
      <c r="F139" s="26">
        <f>SUM(C139:E139)</f>
        <v>126.544524</v>
      </c>
      <c r="G139" s="29">
        <f t="shared" si="2"/>
        <v>0</v>
      </c>
    </row>
    <row r="140" spans="1:7" x14ac:dyDescent="0.3">
      <c r="A140" s="24">
        <v>94020</v>
      </c>
      <c r="B140" s="25" t="str">
        <f>VLOOKUP(A140,Planilha1!$1:$1048576,2,FALSE)</f>
        <v>Atividades de organizações sindicais</v>
      </c>
      <c r="C140" s="26">
        <v>136.89896400000001</v>
      </c>
      <c r="D140" s="26">
        <v>0</v>
      </c>
      <c r="E140" s="26">
        <v>0</v>
      </c>
      <c r="F140" s="26">
        <f>SUM(C140:E140)</f>
        <v>136.89896400000001</v>
      </c>
      <c r="G140" s="29">
        <f t="shared" si="2"/>
        <v>0</v>
      </c>
    </row>
    <row r="141" spans="1:7" x14ac:dyDescent="0.3">
      <c r="A141" s="24">
        <v>94099</v>
      </c>
      <c r="B141" s="25" t="str">
        <f>VLOOKUP(A141,Planilha1!$1:$1048576,2,FALSE)</f>
        <v xml:space="preserve">Outras atividades associativas não especificadas anteriormente </v>
      </c>
      <c r="C141" s="26">
        <v>357.72745900000001</v>
      </c>
      <c r="D141" s="26">
        <v>294.35259400000001</v>
      </c>
      <c r="E141" s="26">
        <v>0</v>
      </c>
      <c r="F141" s="26">
        <f>SUM(C141:E141)</f>
        <v>652.08005300000002</v>
      </c>
      <c r="G141" s="29">
        <f t="shared" si="2"/>
        <v>0</v>
      </c>
    </row>
  </sheetData>
  <autoFilter ref="A2:F2" xr:uid="{3D672EDB-F658-4CEB-A7AA-85B12B4C5F01}">
    <sortState xmlns:xlrd2="http://schemas.microsoft.com/office/spreadsheetml/2017/richdata2" ref="A3:F141">
      <sortCondition descending="1" ref="E2"/>
    </sortState>
  </autoFilter>
  <conditionalFormatting sqref="E3:E14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14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67EA8-FFFB-40F1-8829-42D023C12453}">
  <dimension ref="A1:B332"/>
  <sheetViews>
    <sheetView showGridLines="0" workbookViewId="0">
      <selection activeCell="A3" sqref="A3:A332"/>
    </sheetView>
  </sheetViews>
  <sheetFormatPr defaultRowHeight="14.4" x14ac:dyDescent="0.3"/>
  <cols>
    <col min="1" max="1" width="6" bestFit="1" customWidth="1"/>
    <col min="2" max="2" width="133.109375" bestFit="1" customWidth="1"/>
  </cols>
  <sheetData>
    <row r="1" spans="1:2" x14ac:dyDescent="0.3">
      <c r="A1" t="s">
        <v>325</v>
      </c>
      <c r="B1" t="s">
        <v>326</v>
      </c>
    </row>
    <row r="2" spans="1:2" x14ac:dyDescent="0.3">
      <c r="A2" s="1"/>
      <c r="B2" s="2" t="s">
        <v>0</v>
      </c>
    </row>
    <row r="3" spans="1:2" x14ac:dyDescent="0.3">
      <c r="A3" s="17">
        <v>1101</v>
      </c>
      <c r="B3" s="4" t="s">
        <v>1</v>
      </c>
    </row>
    <row r="4" spans="1:2" x14ac:dyDescent="0.3">
      <c r="A4" s="17">
        <v>1102</v>
      </c>
      <c r="B4" s="4" t="s">
        <v>2</v>
      </c>
    </row>
    <row r="5" spans="1:2" x14ac:dyDescent="0.3">
      <c r="A5" s="17">
        <v>1103</v>
      </c>
      <c r="B5" s="4" t="s">
        <v>3</v>
      </c>
    </row>
    <row r="6" spans="1:2" x14ac:dyDescent="0.3">
      <c r="A6" s="17">
        <v>1104</v>
      </c>
      <c r="B6" s="4" t="s">
        <v>4</v>
      </c>
    </row>
    <row r="7" spans="1:2" x14ac:dyDescent="0.3">
      <c r="A7" s="17">
        <v>1105</v>
      </c>
      <c r="B7" s="4" t="s">
        <v>5</v>
      </c>
    </row>
    <row r="8" spans="1:2" x14ac:dyDescent="0.3">
      <c r="A8" s="17">
        <v>1106</v>
      </c>
      <c r="B8" s="4" t="s">
        <v>6</v>
      </c>
    </row>
    <row r="9" spans="1:2" x14ac:dyDescent="0.3">
      <c r="A9" s="17">
        <v>1107</v>
      </c>
      <c r="B9" s="4" t="s">
        <v>7</v>
      </c>
    </row>
    <row r="10" spans="1:2" x14ac:dyDescent="0.3">
      <c r="A10" s="17">
        <v>1108</v>
      </c>
      <c r="B10" s="4" t="s">
        <v>8</v>
      </c>
    </row>
    <row r="11" spans="1:2" x14ac:dyDescent="0.3">
      <c r="A11" s="17">
        <v>1109</v>
      </c>
      <c r="B11" s="4" t="s">
        <v>9</v>
      </c>
    </row>
    <row r="12" spans="1:2" x14ac:dyDescent="0.3">
      <c r="A12" s="17">
        <v>1110</v>
      </c>
      <c r="B12" s="4" t="s">
        <v>10</v>
      </c>
    </row>
    <row r="13" spans="1:2" x14ac:dyDescent="0.3">
      <c r="A13" s="17">
        <v>1111</v>
      </c>
      <c r="B13" s="4" t="s">
        <v>11</v>
      </c>
    </row>
    <row r="14" spans="1:2" x14ac:dyDescent="0.3">
      <c r="A14" s="17">
        <v>1112</v>
      </c>
      <c r="B14" s="4" t="s">
        <v>12</v>
      </c>
    </row>
    <row r="15" spans="1:2" x14ac:dyDescent="0.3">
      <c r="A15" s="17">
        <v>1113</v>
      </c>
      <c r="B15" s="4" t="s">
        <v>13</v>
      </c>
    </row>
    <row r="16" spans="1:2" x14ac:dyDescent="0.3">
      <c r="A16" s="17">
        <v>1114</v>
      </c>
      <c r="B16" s="4" t="s">
        <v>14</v>
      </c>
    </row>
    <row r="17" spans="1:2" x14ac:dyDescent="0.3">
      <c r="A17" s="17">
        <v>1115</v>
      </c>
      <c r="B17" s="4" t="s">
        <v>15</v>
      </c>
    </row>
    <row r="18" spans="1:2" x14ac:dyDescent="0.3">
      <c r="A18" s="17">
        <v>1116</v>
      </c>
      <c r="B18" s="4" t="s">
        <v>16</v>
      </c>
    </row>
    <row r="19" spans="1:2" x14ac:dyDescent="0.3">
      <c r="A19" s="17">
        <v>1117</v>
      </c>
      <c r="B19" s="4" t="s">
        <v>17</v>
      </c>
    </row>
    <row r="20" spans="1:2" x14ac:dyDescent="0.3">
      <c r="A20" s="17">
        <v>1118</v>
      </c>
      <c r="B20" s="4" t="s">
        <v>18</v>
      </c>
    </row>
    <row r="21" spans="1:2" x14ac:dyDescent="0.3">
      <c r="A21" s="17">
        <v>1119</v>
      </c>
      <c r="B21" s="4" t="s">
        <v>19</v>
      </c>
    </row>
    <row r="22" spans="1:2" x14ac:dyDescent="0.3">
      <c r="A22" s="17">
        <v>1201</v>
      </c>
      <c r="B22" s="4" t="s">
        <v>20</v>
      </c>
    </row>
    <row r="23" spans="1:2" x14ac:dyDescent="0.3">
      <c r="A23" s="17">
        <v>1202</v>
      </c>
      <c r="B23" s="4" t="s">
        <v>21</v>
      </c>
    </row>
    <row r="24" spans="1:2" x14ac:dyDescent="0.3">
      <c r="A24" s="17">
        <v>1203</v>
      </c>
      <c r="B24" s="4" t="s">
        <v>22</v>
      </c>
    </row>
    <row r="25" spans="1:2" x14ac:dyDescent="0.3">
      <c r="A25" s="17">
        <v>1204</v>
      </c>
      <c r="B25" s="4" t="s">
        <v>23</v>
      </c>
    </row>
    <row r="26" spans="1:2" x14ac:dyDescent="0.3">
      <c r="A26" s="17">
        <v>1205</v>
      </c>
      <c r="B26" s="4" t="s">
        <v>24</v>
      </c>
    </row>
    <row r="27" spans="1:2" x14ac:dyDescent="0.3">
      <c r="A27" s="17">
        <v>1206</v>
      </c>
      <c r="B27" s="4" t="s">
        <v>25</v>
      </c>
    </row>
    <row r="28" spans="1:2" x14ac:dyDescent="0.3">
      <c r="A28" s="17">
        <v>1207</v>
      </c>
      <c r="B28" s="4" t="s">
        <v>26</v>
      </c>
    </row>
    <row r="29" spans="1:2" x14ac:dyDescent="0.3">
      <c r="A29" s="18">
        <v>1208</v>
      </c>
      <c r="B29" s="5" t="s">
        <v>27</v>
      </c>
    </row>
    <row r="30" spans="1:2" x14ac:dyDescent="0.3">
      <c r="A30" s="18">
        <v>1209</v>
      </c>
      <c r="B30" s="5" t="s">
        <v>28</v>
      </c>
    </row>
    <row r="31" spans="1:2" x14ac:dyDescent="0.3">
      <c r="A31" s="17">
        <v>1401</v>
      </c>
      <c r="B31" s="4" t="s">
        <v>29</v>
      </c>
    </row>
    <row r="32" spans="1:2" x14ac:dyDescent="0.3">
      <c r="A32" s="17">
        <v>1402</v>
      </c>
      <c r="B32" s="4" t="s">
        <v>30</v>
      </c>
    </row>
    <row r="33" spans="1:2" x14ac:dyDescent="0.3">
      <c r="A33" s="17">
        <v>1500</v>
      </c>
      <c r="B33" s="4" t="s">
        <v>31</v>
      </c>
    </row>
    <row r="34" spans="1:2" x14ac:dyDescent="0.3">
      <c r="A34" s="18">
        <v>1999</v>
      </c>
      <c r="B34" s="5" t="s">
        <v>32</v>
      </c>
    </row>
    <row r="35" spans="1:2" x14ac:dyDescent="0.3">
      <c r="A35" s="6"/>
      <c r="B35" s="2" t="s">
        <v>33</v>
      </c>
    </row>
    <row r="36" spans="1:2" x14ac:dyDescent="0.3">
      <c r="A36" s="17">
        <v>2000</v>
      </c>
      <c r="B36" s="4" t="s">
        <v>34</v>
      </c>
    </row>
    <row r="37" spans="1:2" x14ac:dyDescent="0.3">
      <c r="A37" s="6"/>
      <c r="B37" s="2" t="s">
        <v>35</v>
      </c>
    </row>
    <row r="38" spans="1:2" x14ac:dyDescent="0.3">
      <c r="A38" s="17">
        <v>3001</v>
      </c>
      <c r="B38" s="4" t="s">
        <v>36</v>
      </c>
    </row>
    <row r="39" spans="1:2" x14ac:dyDescent="0.3">
      <c r="A39" s="17">
        <v>3002</v>
      </c>
      <c r="B39" s="4" t="s">
        <v>37</v>
      </c>
    </row>
    <row r="40" spans="1:2" x14ac:dyDescent="0.3">
      <c r="A40" s="7"/>
      <c r="B40" s="8" t="s">
        <v>38</v>
      </c>
    </row>
    <row r="41" spans="1:2" x14ac:dyDescent="0.3">
      <c r="A41" s="6"/>
      <c r="B41" s="2" t="s">
        <v>39</v>
      </c>
    </row>
    <row r="42" spans="1:2" x14ac:dyDescent="0.3">
      <c r="A42" s="19">
        <v>5000</v>
      </c>
      <c r="B42" s="9" t="s">
        <v>40</v>
      </c>
    </row>
    <row r="43" spans="1:2" x14ac:dyDescent="0.3">
      <c r="A43" s="6"/>
      <c r="B43" s="2" t="s">
        <v>41</v>
      </c>
    </row>
    <row r="44" spans="1:2" x14ac:dyDescent="0.3">
      <c r="A44" s="19">
        <v>6000</v>
      </c>
      <c r="B44" s="9" t="s">
        <v>42</v>
      </c>
    </row>
    <row r="45" spans="1:2" x14ac:dyDescent="0.3">
      <c r="A45" s="6"/>
      <c r="B45" s="2" t="s">
        <v>43</v>
      </c>
    </row>
    <row r="46" spans="1:2" x14ac:dyDescent="0.3">
      <c r="A46" s="19">
        <v>7001</v>
      </c>
      <c r="B46" s="9" t="s">
        <v>44</v>
      </c>
    </row>
    <row r="47" spans="1:2" x14ac:dyDescent="0.3">
      <c r="A47" s="19">
        <v>7002</v>
      </c>
      <c r="B47" s="9" t="s">
        <v>45</v>
      </c>
    </row>
    <row r="48" spans="1:2" x14ac:dyDescent="0.3">
      <c r="A48" s="6"/>
      <c r="B48" s="2" t="s">
        <v>46</v>
      </c>
    </row>
    <row r="49" spans="1:2" x14ac:dyDescent="0.3">
      <c r="A49" s="19">
        <v>8001</v>
      </c>
      <c r="B49" s="9" t="s">
        <v>47</v>
      </c>
    </row>
    <row r="50" spans="1:2" x14ac:dyDescent="0.3">
      <c r="A50" s="19">
        <v>8002</v>
      </c>
      <c r="B50" s="9" t="s">
        <v>48</v>
      </c>
    </row>
    <row r="51" spans="1:2" x14ac:dyDescent="0.3">
      <c r="A51" s="19">
        <v>8009</v>
      </c>
      <c r="B51" s="9" t="s">
        <v>49</v>
      </c>
    </row>
    <row r="52" spans="1:2" x14ac:dyDescent="0.3">
      <c r="A52" s="6"/>
      <c r="B52" s="2" t="s">
        <v>50</v>
      </c>
    </row>
    <row r="53" spans="1:2" x14ac:dyDescent="0.3">
      <c r="A53" s="19">
        <v>9000</v>
      </c>
      <c r="B53" s="9" t="s">
        <v>51</v>
      </c>
    </row>
    <row r="54" spans="1:2" x14ac:dyDescent="0.3">
      <c r="A54" s="7"/>
      <c r="B54" s="8" t="s">
        <v>52</v>
      </c>
    </row>
    <row r="55" spans="1:2" x14ac:dyDescent="0.3">
      <c r="A55" s="6"/>
      <c r="B55" s="2" t="s">
        <v>53</v>
      </c>
    </row>
    <row r="56" spans="1:2" x14ac:dyDescent="0.3">
      <c r="A56" s="17">
        <v>10010</v>
      </c>
      <c r="B56" s="4" t="s">
        <v>54</v>
      </c>
    </row>
    <row r="57" spans="1:2" x14ac:dyDescent="0.3">
      <c r="A57" s="17">
        <v>10021</v>
      </c>
      <c r="B57" s="4" t="s">
        <v>55</v>
      </c>
    </row>
    <row r="58" spans="1:2" x14ac:dyDescent="0.3">
      <c r="A58" s="17">
        <v>10022</v>
      </c>
      <c r="B58" s="4" t="s">
        <v>56</v>
      </c>
    </row>
    <row r="59" spans="1:2" x14ac:dyDescent="0.3">
      <c r="A59" s="17">
        <v>10030</v>
      </c>
      <c r="B59" s="4" t="s">
        <v>57</v>
      </c>
    </row>
    <row r="60" spans="1:2" x14ac:dyDescent="0.3">
      <c r="A60" s="17">
        <v>10091</v>
      </c>
      <c r="B60" s="4" t="s">
        <v>58</v>
      </c>
    </row>
    <row r="61" spans="1:2" x14ac:dyDescent="0.3">
      <c r="A61" s="17">
        <v>10092</v>
      </c>
      <c r="B61" s="4" t="s">
        <v>59</v>
      </c>
    </row>
    <row r="62" spans="1:2" x14ac:dyDescent="0.3">
      <c r="A62" s="17">
        <v>10093</v>
      </c>
      <c r="B62" s="4" t="s">
        <v>60</v>
      </c>
    </row>
    <row r="63" spans="1:2" x14ac:dyDescent="0.3">
      <c r="A63" s="17">
        <v>10099</v>
      </c>
      <c r="B63" s="4" t="s">
        <v>61</v>
      </c>
    </row>
    <row r="64" spans="1:2" x14ac:dyDescent="0.3">
      <c r="A64" s="6"/>
      <c r="B64" s="2" t="s">
        <v>62</v>
      </c>
    </row>
    <row r="65" spans="1:2" x14ac:dyDescent="0.3">
      <c r="A65" s="17">
        <v>11000</v>
      </c>
      <c r="B65" s="4" t="s">
        <v>63</v>
      </c>
    </row>
    <row r="66" spans="1:2" x14ac:dyDescent="0.3">
      <c r="A66" s="6"/>
      <c r="B66" s="2" t="s">
        <v>64</v>
      </c>
    </row>
    <row r="67" spans="1:2" x14ac:dyDescent="0.3">
      <c r="A67" s="3">
        <v>12000</v>
      </c>
      <c r="B67" s="4" t="s">
        <v>65</v>
      </c>
    </row>
    <row r="68" spans="1:2" x14ac:dyDescent="0.3">
      <c r="A68" s="6"/>
      <c r="B68" s="2" t="s">
        <v>66</v>
      </c>
    </row>
    <row r="69" spans="1:2" x14ac:dyDescent="0.3">
      <c r="A69" s="3">
        <v>13001</v>
      </c>
      <c r="B69" s="4" t="s">
        <v>67</v>
      </c>
    </row>
    <row r="70" spans="1:2" x14ac:dyDescent="0.3">
      <c r="A70" s="3">
        <v>13002</v>
      </c>
      <c r="B70" s="4" t="s">
        <v>68</v>
      </c>
    </row>
    <row r="71" spans="1:2" x14ac:dyDescent="0.3">
      <c r="A71" s="6"/>
      <c r="B71" s="2" t="s">
        <v>69</v>
      </c>
    </row>
    <row r="72" spans="1:2" x14ac:dyDescent="0.3">
      <c r="A72" s="3">
        <v>14001</v>
      </c>
      <c r="B72" s="4" t="s">
        <v>70</v>
      </c>
    </row>
    <row r="73" spans="1:2" x14ac:dyDescent="0.3">
      <c r="A73" s="3">
        <v>14002</v>
      </c>
      <c r="B73" s="4" t="s">
        <v>71</v>
      </c>
    </row>
    <row r="74" spans="1:2" x14ac:dyDescent="0.3">
      <c r="A74" s="6"/>
      <c r="B74" s="10" t="s">
        <v>72</v>
      </c>
    </row>
    <row r="75" spans="1:2" x14ac:dyDescent="0.3">
      <c r="A75" s="17">
        <v>15011</v>
      </c>
      <c r="B75" s="4" t="s">
        <v>73</v>
      </c>
    </row>
    <row r="76" spans="1:2" x14ac:dyDescent="0.3">
      <c r="A76" s="17">
        <v>15012</v>
      </c>
      <c r="B76" s="4" t="s">
        <v>74</v>
      </c>
    </row>
    <row r="77" spans="1:2" x14ac:dyDescent="0.3">
      <c r="A77" s="17">
        <v>15020</v>
      </c>
      <c r="B77" s="4" t="s">
        <v>75</v>
      </c>
    </row>
    <row r="78" spans="1:2" x14ac:dyDescent="0.3">
      <c r="A78" s="6"/>
      <c r="B78" s="2" t="s">
        <v>76</v>
      </c>
    </row>
    <row r="79" spans="1:2" x14ac:dyDescent="0.3">
      <c r="A79" s="3">
        <v>16001</v>
      </c>
      <c r="B79" s="9" t="s">
        <v>77</v>
      </c>
    </row>
    <row r="80" spans="1:2" x14ac:dyDescent="0.3">
      <c r="A80" s="3">
        <v>16002</v>
      </c>
      <c r="B80" s="4" t="s">
        <v>78</v>
      </c>
    </row>
    <row r="81" spans="1:2" x14ac:dyDescent="0.3">
      <c r="A81" s="6"/>
      <c r="B81" s="2" t="s">
        <v>79</v>
      </c>
    </row>
    <row r="82" spans="1:2" x14ac:dyDescent="0.3">
      <c r="A82" s="17">
        <v>17001</v>
      </c>
      <c r="B82" s="4" t="s">
        <v>80</v>
      </c>
    </row>
    <row r="83" spans="1:2" x14ac:dyDescent="0.3">
      <c r="A83" s="17">
        <v>17002</v>
      </c>
      <c r="B83" s="4" t="s">
        <v>81</v>
      </c>
    </row>
    <row r="84" spans="1:2" x14ac:dyDescent="0.3">
      <c r="A84" s="6"/>
      <c r="B84" s="2" t="s">
        <v>82</v>
      </c>
    </row>
    <row r="85" spans="1:2" x14ac:dyDescent="0.3">
      <c r="A85" s="3">
        <v>18000</v>
      </c>
      <c r="B85" s="4" t="s">
        <v>83</v>
      </c>
    </row>
    <row r="86" spans="1:2" x14ac:dyDescent="0.3">
      <c r="A86" s="6"/>
      <c r="B86" s="2" t="s">
        <v>84</v>
      </c>
    </row>
    <row r="87" spans="1:2" x14ac:dyDescent="0.3">
      <c r="A87" s="17">
        <v>19010</v>
      </c>
      <c r="B87" s="4" t="s">
        <v>85</v>
      </c>
    </row>
    <row r="88" spans="1:2" x14ac:dyDescent="0.3">
      <c r="A88" s="17">
        <v>19020</v>
      </c>
      <c r="B88" s="4" t="s">
        <v>86</v>
      </c>
    </row>
    <row r="89" spans="1:2" x14ac:dyDescent="0.3">
      <c r="A89" s="17">
        <v>19030</v>
      </c>
      <c r="B89" s="4" t="s">
        <v>87</v>
      </c>
    </row>
    <row r="90" spans="1:2" x14ac:dyDescent="0.3">
      <c r="A90" s="6"/>
      <c r="B90" s="2" t="s">
        <v>88</v>
      </c>
    </row>
    <row r="91" spans="1:2" x14ac:dyDescent="0.3">
      <c r="A91" s="17">
        <v>20010</v>
      </c>
      <c r="B91" s="4" t="s">
        <v>89</v>
      </c>
    </row>
    <row r="92" spans="1:2" x14ac:dyDescent="0.3">
      <c r="A92" s="17">
        <v>20020</v>
      </c>
      <c r="B92" s="4" t="s">
        <v>90</v>
      </c>
    </row>
    <row r="93" spans="1:2" x14ac:dyDescent="0.3">
      <c r="A93" s="17">
        <v>20090</v>
      </c>
      <c r="B93" s="4" t="s">
        <v>91</v>
      </c>
    </row>
    <row r="94" spans="1:2" x14ac:dyDescent="0.3">
      <c r="A94" s="6"/>
      <c r="B94" s="2" t="s">
        <v>92</v>
      </c>
    </row>
    <row r="95" spans="1:2" x14ac:dyDescent="0.3">
      <c r="A95" s="17">
        <v>21000</v>
      </c>
      <c r="B95" s="4" t="s">
        <v>93</v>
      </c>
    </row>
    <row r="96" spans="1:2" x14ac:dyDescent="0.3">
      <c r="A96" s="6"/>
      <c r="B96" s="10" t="s">
        <v>94</v>
      </c>
    </row>
    <row r="97" spans="1:2" x14ac:dyDescent="0.3">
      <c r="A97" s="17">
        <v>22010</v>
      </c>
      <c r="B97" s="4" t="s">
        <v>95</v>
      </c>
    </row>
    <row r="98" spans="1:2" x14ac:dyDescent="0.3">
      <c r="A98" s="17">
        <v>22020</v>
      </c>
      <c r="B98" s="4" t="s">
        <v>96</v>
      </c>
    </row>
    <row r="99" spans="1:2" x14ac:dyDescent="0.3">
      <c r="A99" s="6"/>
      <c r="B99" s="2" t="s">
        <v>97</v>
      </c>
    </row>
    <row r="100" spans="1:2" x14ac:dyDescent="0.3">
      <c r="A100" s="17">
        <v>23010</v>
      </c>
      <c r="B100" s="4" t="s">
        <v>98</v>
      </c>
    </row>
    <row r="101" spans="1:2" x14ac:dyDescent="0.3">
      <c r="A101" s="17">
        <v>23091</v>
      </c>
      <c r="B101" s="4" t="s">
        <v>99</v>
      </c>
    </row>
    <row r="102" spans="1:2" x14ac:dyDescent="0.3">
      <c r="A102" s="17">
        <v>23099</v>
      </c>
      <c r="B102" s="4" t="s">
        <v>100</v>
      </c>
    </row>
    <row r="103" spans="1:2" x14ac:dyDescent="0.3">
      <c r="A103" s="6"/>
      <c r="B103" s="2" t="s">
        <v>101</v>
      </c>
    </row>
    <row r="104" spans="1:2" x14ac:dyDescent="0.3">
      <c r="A104" s="3">
        <v>24001</v>
      </c>
      <c r="B104" s="4" t="s">
        <v>102</v>
      </c>
    </row>
    <row r="105" spans="1:2" x14ac:dyDescent="0.3">
      <c r="A105" s="3">
        <v>24002</v>
      </c>
      <c r="B105" s="4" t="s">
        <v>103</v>
      </c>
    </row>
    <row r="106" spans="1:2" x14ac:dyDescent="0.3">
      <c r="A106" s="3">
        <v>24003</v>
      </c>
      <c r="B106" s="4" t="s">
        <v>104</v>
      </c>
    </row>
    <row r="107" spans="1:2" x14ac:dyDescent="0.3">
      <c r="A107" s="6"/>
      <c r="B107" s="2" t="s">
        <v>105</v>
      </c>
    </row>
    <row r="108" spans="1:2" x14ac:dyDescent="0.3">
      <c r="A108" s="3">
        <v>25001</v>
      </c>
      <c r="B108" s="4" t="s">
        <v>106</v>
      </c>
    </row>
    <row r="109" spans="1:2" x14ac:dyDescent="0.3">
      <c r="A109" s="3">
        <v>25002</v>
      </c>
      <c r="B109" s="4" t="s">
        <v>107</v>
      </c>
    </row>
    <row r="110" spans="1:2" x14ac:dyDescent="0.3">
      <c r="A110" s="6"/>
      <c r="B110" s="2" t="s">
        <v>108</v>
      </c>
    </row>
    <row r="111" spans="1:2" x14ac:dyDescent="0.3">
      <c r="A111" s="17">
        <v>26010</v>
      </c>
      <c r="B111" s="4" t="s">
        <v>109</v>
      </c>
    </row>
    <row r="112" spans="1:2" x14ac:dyDescent="0.3">
      <c r="A112" s="17">
        <v>26020</v>
      </c>
      <c r="B112" s="4" t="s">
        <v>110</v>
      </c>
    </row>
    <row r="113" spans="1:2" x14ac:dyDescent="0.3">
      <c r="A113" s="17">
        <v>26030</v>
      </c>
      <c r="B113" s="4" t="s">
        <v>111</v>
      </c>
    </row>
    <row r="114" spans="1:2" x14ac:dyDescent="0.3">
      <c r="A114" s="17">
        <v>26041</v>
      </c>
      <c r="B114" s="4" t="s">
        <v>112</v>
      </c>
    </row>
    <row r="115" spans="1:2" x14ac:dyDescent="0.3">
      <c r="A115" s="17">
        <v>26042</v>
      </c>
      <c r="B115" s="4" t="s">
        <v>113</v>
      </c>
    </row>
    <row r="116" spans="1:2" x14ac:dyDescent="0.3">
      <c r="A116" s="6"/>
      <c r="B116" s="2" t="s">
        <v>114</v>
      </c>
    </row>
    <row r="117" spans="1:2" x14ac:dyDescent="0.3">
      <c r="A117" s="17">
        <v>27010</v>
      </c>
      <c r="B117" s="4" t="s">
        <v>115</v>
      </c>
    </row>
    <row r="118" spans="1:2" x14ac:dyDescent="0.3">
      <c r="A118" s="17">
        <v>27090</v>
      </c>
      <c r="B118" s="4" t="s">
        <v>116</v>
      </c>
    </row>
    <row r="119" spans="1:2" x14ac:dyDescent="0.3">
      <c r="A119" s="6"/>
      <c r="B119" s="2" t="s">
        <v>117</v>
      </c>
    </row>
    <row r="120" spans="1:2" x14ac:dyDescent="0.3">
      <c r="A120" s="3">
        <v>28000</v>
      </c>
      <c r="B120" s="4" t="s">
        <v>118</v>
      </c>
    </row>
    <row r="121" spans="1:2" x14ac:dyDescent="0.3">
      <c r="A121" s="6"/>
      <c r="B121" s="10" t="s">
        <v>119</v>
      </c>
    </row>
    <row r="122" spans="1:2" x14ac:dyDescent="0.3">
      <c r="A122" s="3">
        <v>29001</v>
      </c>
      <c r="B122" s="4" t="s">
        <v>120</v>
      </c>
    </row>
    <row r="123" spans="1:2" x14ac:dyDescent="0.3">
      <c r="A123" s="3">
        <v>29002</v>
      </c>
      <c r="B123" s="4" t="s">
        <v>121</v>
      </c>
    </row>
    <row r="124" spans="1:2" x14ac:dyDescent="0.3">
      <c r="A124" s="3">
        <v>29003</v>
      </c>
      <c r="B124" s="4" t="s">
        <v>122</v>
      </c>
    </row>
    <row r="125" spans="1:2" x14ac:dyDescent="0.3">
      <c r="A125" s="6"/>
      <c r="B125" s="2" t="s">
        <v>123</v>
      </c>
    </row>
    <row r="126" spans="1:2" x14ac:dyDescent="0.3">
      <c r="A126" s="17">
        <v>30010</v>
      </c>
      <c r="B126" s="4" t="s">
        <v>124</v>
      </c>
    </row>
    <row r="127" spans="1:2" x14ac:dyDescent="0.3">
      <c r="A127" s="17">
        <v>30020</v>
      </c>
      <c r="B127" s="4" t="s">
        <v>125</v>
      </c>
    </row>
    <row r="128" spans="1:2" x14ac:dyDescent="0.3">
      <c r="A128" s="17">
        <v>30030</v>
      </c>
      <c r="B128" s="4" t="s">
        <v>126</v>
      </c>
    </row>
    <row r="129" spans="1:2" x14ac:dyDescent="0.3">
      <c r="A129" s="17">
        <v>30090</v>
      </c>
      <c r="B129" s="4" t="s">
        <v>127</v>
      </c>
    </row>
    <row r="130" spans="1:2" x14ac:dyDescent="0.3">
      <c r="A130" s="6"/>
      <c r="B130" s="2" t="s">
        <v>128</v>
      </c>
    </row>
    <row r="131" spans="1:2" x14ac:dyDescent="0.3">
      <c r="A131" s="17">
        <v>31000</v>
      </c>
      <c r="B131" s="4" t="s">
        <v>129</v>
      </c>
    </row>
    <row r="132" spans="1:2" x14ac:dyDescent="0.3">
      <c r="A132" s="6"/>
      <c r="B132" s="2" t="s">
        <v>130</v>
      </c>
    </row>
    <row r="133" spans="1:2" x14ac:dyDescent="0.3">
      <c r="A133" s="17">
        <v>32001</v>
      </c>
      <c r="B133" s="4" t="s">
        <v>131</v>
      </c>
    </row>
    <row r="134" spans="1:2" x14ac:dyDescent="0.3">
      <c r="A134" s="17">
        <v>32002</v>
      </c>
      <c r="B134" s="4" t="s">
        <v>132</v>
      </c>
    </row>
    <row r="135" spans="1:2" x14ac:dyDescent="0.3">
      <c r="A135" s="17">
        <v>32003</v>
      </c>
      <c r="B135" s="4" t="s">
        <v>133</v>
      </c>
    </row>
    <row r="136" spans="1:2" x14ac:dyDescent="0.3">
      <c r="A136" s="17">
        <v>32009</v>
      </c>
      <c r="B136" s="4" t="s">
        <v>134</v>
      </c>
    </row>
    <row r="137" spans="1:2" x14ac:dyDescent="0.3">
      <c r="A137" s="6"/>
      <c r="B137" s="2" t="s">
        <v>135</v>
      </c>
    </row>
    <row r="138" spans="1:2" x14ac:dyDescent="0.3">
      <c r="A138" s="3">
        <v>33001</v>
      </c>
      <c r="B138" s="4" t="s">
        <v>136</v>
      </c>
    </row>
    <row r="139" spans="1:2" x14ac:dyDescent="0.3">
      <c r="A139" s="3">
        <v>33002</v>
      </c>
      <c r="B139" s="4" t="s">
        <v>137</v>
      </c>
    </row>
    <row r="140" spans="1:2" x14ac:dyDescent="0.3">
      <c r="A140" s="7"/>
      <c r="B140" s="8" t="s">
        <v>138</v>
      </c>
    </row>
    <row r="141" spans="1:2" x14ac:dyDescent="0.3">
      <c r="A141" s="6"/>
      <c r="B141" s="2" t="s">
        <v>139</v>
      </c>
    </row>
    <row r="142" spans="1:2" x14ac:dyDescent="0.3">
      <c r="A142" s="17">
        <v>35010</v>
      </c>
      <c r="B142" s="4" t="s">
        <v>140</v>
      </c>
    </row>
    <row r="143" spans="1:2" x14ac:dyDescent="0.3">
      <c r="A143" s="17">
        <v>35021</v>
      </c>
      <c r="B143" s="4" t="s">
        <v>141</v>
      </c>
    </row>
    <row r="144" spans="1:2" x14ac:dyDescent="0.3">
      <c r="A144" s="17">
        <v>35022</v>
      </c>
      <c r="B144" s="4" t="s">
        <v>142</v>
      </c>
    </row>
    <row r="145" spans="1:2" x14ac:dyDescent="0.3">
      <c r="A145" s="7"/>
      <c r="B145" s="8" t="s">
        <v>143</v>
      </c>
    </row>
    <row r="146" spans="1:2" x14ac:dyDescent="0.3">
      <c r="A146" s="11"/>
      <c r="B146" s="2" t="s">
        <v>144</v>
      </c>
    </row>
    <row r="147" spans="1:2" x14ac:dyDescent="0.3">
      <c r="A147" s="3">
        <v>36000</v>
      </c>
      <c r="B147" s="4" t="s">
        <v>145</v>
      </c>
    </row>
    <row r="148" spans="1:2" x14ac:dyDescent="0.3">
      <c r="A148" s="11"/>
      <c r="B148" s="2" t="s">
        <v>146</v>
      </c>
    </row>
    <row r="149" spans="1:2" x14ac:dyDescent="0.3">
      <c r="A149" s="3">
        <v>37000</v>
      </c>
      <c r="B149" s="4" t="s">
        <v>147</v>
      </c>
    </row>
    <row r="150" spans="1:2" x14ac:dyDescent="0.3">
      <c r="A150" s="11"/>
      <c r="B150" s="2" t="s">
        <v>148</v>
      </c>
    </row>
    <row r="151" spans="1:2" x14ac:dyDescent="0.3">
      <c r="A151" s="3">
        <v>38000</v>
      </c>
      <c r="B151" s="4" t="s">
        <v>149</v>
      </c>
    </row>
    <row r="152" spans="1:2" x14ac:dyDescent="0.3">
      <c r="A152" s="11"/>
      <c r="B152" s="2" t="s">
        <v>150</v>
      </c>
    </row>
    <row r="153" spans="1:2" x14ac:dyDescent="0.3">
      <c r="A153" s="3">
        <v>39000</v>
      </c>
      <c r="B153" s="4" t="s">
        <v>151</v>
      </c>
    </row>
    <row r="154" spans="1:2" x14ac:dyDescent="0.3">
      <c r="A154" s="7"/>
      <c r="B154" s="8" t="s">
        <v>152</v>
      </c>
    </row>
    <row r="155" spans="1:2" x14ac:dyDescent="0.3">
      <c r="A155" s="11"/>
      <c r="B155" s="2" t="s">
        <v>153</v>
      </c>
    </row>
    <row r="156" spans="1:2" x14ac:dyDescent="0.3">
      <c r="A156" s="3">
        <v>41000</v>
      </c>
      <c r="B156" s="4" t="s">
        <v>154</v>
      </c>
    </row>
    <row r="157" spans="1:2" x14ac:dyDescent="0.3">
      <c r="A157" s="11"/>
      <c r="B157" s="2" t="s">
        <v>155</v>
      </c>
    </row>
    <row r="158" spans="1:2" x14ac:dyDescent="0.3">
      <c r="A158" s="3">
        <v>42000</v>
      </c>
      <c r="B158" s="4" t="s">
        <v>156</v>
      </c>
    </row>
    <row r="159" spans="1:2" x14ac:dyDescent="0.3">
      <c r="A159" s="11"/>
      <c r="B159" s="2" t="s">
        <v>157</v>
      </c>
    </row>
    <row r="160" spans="1:2" x14ac:dyDescent="0.3">
      <c r="A160" s="3">
        <v>43000</v>
      </c>
      <c r="B160" s="4" t="s">
        <v>158</v>
      </c>
    </row>
    <row r="161" spans="1:2" x14ac:dyDescent="0.3">
      <c r="A161" s="7"/>
      <c r="B161" s="8" t="s">
        <v>159</v>
      </c>
    </row>
    <row r="162" spans="1:2" x14ac:dyDescent="0.3">
      <c r="A162" s="11"/>
      <c r="B162" s="2" t="s">
        <v>160</v>
      </c>
    </row>
    <row r="163" spans="1:2" x14ac:dyDescent="0.3">
      <c r="A163" s="17">
        <v>45010</v>
      </c>
      <c r="B163" s="4" t="s">
        <v>161</v>
      </c>
    </row>
    <row r="164" spans="1:2" x14ac:dyDescent="0.3">
      <c r="A164" s="17">
        <v>45020</v>
      </c>
      <c r="B164" s="4" t="s">
        <v>162</v>
      </c>
    </row>
    <row r="165" spans="1:2" x14ac:dyDescent="0.3">
      <c r="A165" s="17">
        <v>45030</v>
      </c>
      <c r="B165" s="4" t="s">
        <v>163</v>
      </c>
    </row>
    <row r="166" spans="1:2" x14ac:dyDescent="0.3">
      <c r="A166" s="17">
        <v>45040</v>
      </c>
      <c r="B166" s="4" t="s">
        <v>164</v>
      </c>
    </row>
    <row r="167" spans="1:2" x14ac:dyDescent="0.3">
      <c r="A167" s="11"/>
      <c r="B167" s="10" t="s">
        <v>165</v>
      </c>
    </row>
    <row r="168" spans="1:2" x14ac:dyDescent="0.3">
      <c r="A168" s="17">
        <v>48010</v>
      </c>
      <c r="B168" s="4" t="s">
        <v>166</v>
      </c>
    </row>
    <row r="169" spans="1:2" x14ac:dyDescent="0.3">
      <c r="A169" s="17">
        <v>48020</v>
      </c>
      <c r="B169" s="4" t="s">
        <v>167</v>
      </c>
    </row>
    <row r="170" spans="1:2" x14ac:dyDescent="0.3">
      <c r="A170" s="17">
        <v>48030</v>
      </c>
      <c r="B170" s="4" t="s">
        <v>168</v>
      </c>
    </row>
    <row r="171" spans="1:2" x14ac:dyDescent="0.3">
      <c r="A171" s="17">
        <v>48041</v>
      </c>
      <c r="B171" s="4" t="s">
        <v>169</v>
      </c>
    </row>
    <row r="172" spans="1:2" x14ac:dyDescent="0.3">
      <c r="A172" s="17">
        <v>48042</v>
      </c>
      <c r="B172" s="4" t="s">
        <v>170</v>
      </c>
    </row>
    <row r="173" spans="1:2" x14ac:dyDescent="0.3">
      <c r="A173" s="17">
        <v>48050</v>
      </c>
      <c r="B173" s="4" t="s">
        <v>171</v>
      </c>
    </row>
    <row r="174" spans="1:2" x14ac:dyDescent="0.3">
      <c r="A174" s="17">
        <v>48060</v>
      </c>
      <c r="B174" s="4" t="s">
        <v>172</v>
      </c>
    </row>
    <row r="175" spans="1:2" x14ac:dyDescent="0.3">
      <c r="A175" s="17">
        <v>48071</v>
      </c>
      <c r="B175" s="4" t="s">
        <v>173</v>
      </c>
    </row>
    <row r="176" spans="1:2" x14ac:dyDescent="0.3">
      <c r="A176" s="17">
        <v>48072</v>
      </c>
      <c r="B176" s="4" t="s">
        <v>174</v>
      </c>
    </row>
    <row r="177" spans="1:2" x14ac:dyDescent="0.3">
      <c r="A177" s="17">
        <v>48073</v>
      </c>
      <c r="B177" s="4" t="s">
        <v>175</v>
      </c>
    </row>
    <row r="178" spans="1:2" x14ac:dyDescent="0.3">
      <c r="A178" s="17">
        <v>48074</v>
      </c>
      <c r="B178" s="4" t="s">
        <v>176</v>
      </c>
    </row>
    <row r="179" spans="1:2" x14ac:dyDescent="0.3">
      <c r="A179" s="17">
        <v>48075</v>
      </c>
      <c r="B179" s="4" t="s">
        <v>177</v>
      </c>
    </row>
    <row r="180" spans="1:2" x14ac:dyDescent="0.3">
      <c r="A180" s="17">
        <v>48076</v>
      </c>
      <c r="B180" s="4" t="s">
        <v>178</v>
      </c>
    </row>
    <row r="181" spans="1:2" x14ac:dyDescent="0.3">
      <c r="A181" s="17">
        <v>48077</v>
      </c>
      <c r="B181" s="4" t="s">
        <v>179</v>
      </c>
    </row>
    <row r="182" spans="1:2" x14ac:dyDescent="0.3">
      <c r="A182" s="17">
        <v>48078</v>
      </c>
      <c r="B182" s="4" t="s">
        <v>180</v>
      </c>
    </row>
    <row r="183" spans="1:2" x14ac:dyDescent="0.3">
      <c r="A183" s="17">
        <v>48079</v>
      </c>
      <c r="B183" s="4" t="s">
        <v>181</v>
      </c>
    </row>
    <row r="184" spans="1:2" x14ac:dyDescent="0.3">
      <c r="A184" s="17">
        <v>48080</v>
      </c>
      <c r="B184" s="4" t="s">
        <v>182</v>
      </c>
    </row>
    <row r="185" spans="1:2" x14ac:dyDescent="0.3">
      <c r="A185" s="17">
        <v>48090</v>
      </c>
      <c r="B185" s="4" t="s">
        <v>183</v>
      </c>
    </row>
    <row r="186" spans="1:2" x14ac:dyDescent="0.3">
      <c r="A186" s="17">
        <v>48100</v>
      </c>
      <c r="B186" s="4" t="s">
        <v>184</v>
      </c>
    </row>
    <row r="187" spans="1:2" x14ac:dyDescent="0.3">
      <c r="A187" s="7"/>
      <c r="B187" s="8" t="s">
        <v>185</v>
      </c>
    </row>
    <row r="188" spans="1:2" x14ac:dyDescent="0.3">
      <c r="A188" s="11"/>
      <c r="B188" s="2" t="s">
        <v>186</v>
      </c>
    </row>
    <row r="189" spans="1:2" x14ac:dyDescent="0.3">
      <c r="A189" s="17">
        <v>49010</v>
      </c>
      <c r="B189" s="4" t="s">
        <v>187</v>
      </c>
    </row>
    <row r="190" spans="1:2" x14ac:dyDescent="0.3">
      <c r="A190" s="17">
        <v>49030</v>
      </c>
      <c r="B190" s="4" t="s">
        <v>188</v>
      </c>
    </row>
    <row r="191" spans="1:2" x14ac:dyDescent="0.3">
      <c r="A191" s="17">
        <v>49040</v>
      </c>
      <c r="B191" s="4" t="s">
        <v>189</v>
      </c>
    </row>
    <row r="192" spans="1:2" x14ac:dyDescent="0.3">
      <c r="A192" s="17">
        <v>49090</v>
      </c>
      <c r="B192" s="12" t="s">
        <v>190</v>
      </c>
    </row>
    <row r="193" spans="1:2" x14ac:dyDescent="0.3">
      <c r="A193" s="11"/>
      <c r="B193" s="2" t="s">
        <v>191</v>
      </c>
    </row>
    <row r="194" spans="1:2" x14ac:dyDescent="0.3">
      <c r="A194" s="17">
        <v>50000</v>
      </c>
      <c r="B194" s="4" t="s">
        <v>192</v>
      </c>
    </row>
    <row r="195" spans="1:2" x14ac:dyDescent="0.3">
      <c r="A195" s="11"/>
      <c r="B195" s="2" t="s">
        <v>193</v>
      </c>
    </row>
    <row r="196" spans="1:2" x14ac:dyDescent="0.3">
      <c r="A196" s="3">
        <v>51000</v>
      </c>
      <c r="B196" s="4" t="s">
        <v>194</v>
      </c>
    </row>
    <row r="197" spans="1:2" x14ac:dyDescent="0.3">
      <c r="A197" s="11"/>
      <c r="B197" s="2" t="s">
        <v>195</v>
      </c>
    </row>
    <row r="198" spans="1:2" x14ac:dyDescent="0.3">
      <c r="A198" s="17">
        <v>52010</v>
      </c>
      <c r="B198" s="4" t="s">
        <v>196</v>
      </c>
    </row>
    <row r="199" spans="1:2" x14ac:dyDescent="0.3">
      <c r="A199" s="17">
        <v>52020</v>
      </c>
      <c r="B199" s="4" t="s">
        <v>197</v>
      </c>
    </row>
    <row r="200" spans="1:2" x14ac:dyDescent="0.3">
      <c r="A200" s="11"/>
      <c r="B200" s="2" t="s">
        <v>198</v>
      </c>
    </row>
    <row r="201" spans="1:2" x14ac:dyDescent="0.3">
      <c r="A201" s="17">
        <v>53001</v>
      </c>
      <c r="B201" s="4" t="s">
        <v>199</v>
      </c>
    </row>
    <row r="202" spans="1:2" x14ac:dyDescent="0.3">
      <c r="A202" s="17">
        <v>53002</v>
      </c>
      <c r="B202" s="4" t="s">
        <v>200</v>
      </c>
    </row>
    <row r="203" spans="1:2" x14ac:dyDescent="0.3">
      <c r="A203" s="7"/>
      <c r="B203" s="8" t="s">
        <v>201</v>
      </c>
    </row>
    <row r="204" spans="1:2" x14ac:dyDescent="0.3">
      <c r="A204" s="11"/>
      <c r="B204" s="2" t="s">
        <v>202</v>
      </c>
    </row>
    <row r="205" spans="1:2" x14ac:dyDescent="0.3">
      <c r="A205" s="17">
        <v>55000</v>
      </c>
      <c r="B205" s="4" t="s">
        <v>203</v>
      </c>
    </row>
    <row r="206" spans="1:2" x14ac:dyDescent="0.3">
      <c r="A206" s="11"/>
      <c r="B206" s="2" t="s">
        <v>204</v>
      </c>
    </row>
    <row r="207" spans="1:2" x14ac:dyDescent="0.3">
      <c r="A207" s="17">
        <v>56011</v>
      </c>
      <c r="B207" s="9" t="s">
        <v>205</v>
      </c>
    </row>
    <row r="208" spans="1:2" x14ac:dyDescent="0.3">
      <c r="A208" s="17">
        <v>56012</v>
      </c>
      <c r="B208" s="9" t="s">
        <v>206</v>
      </c>
    </row>
    <row r="209" spans="1:2" x14ac:dyDescent="0.3">
      <c r="A209" s="17">
        <v>56020</v>
      </c>
      <c r="B209" s="9" t="s">
        <v>207</v>
      </c>
    </row>
    <row r="210" spans="1:2" x14ac:dyDescent="0.3">
      <c r="A210" s="7"/>
      <c r="B210" s="8" t="s">
        <v>208</v>
      </c>
    </row>
    <row r="211" spans="1:2" x14ac:dyDescent="0.3">
      <c r="A211" s="11"/>
      <c r="B211" s="2" t="s">
        <v>209</v>
      </c>
    </row>
    <row r="212" spans="1:2" x14ac:dyDescent="0.3">
      <c r="A212" s="17">
        <v>58000</v>
      </c>
      <c r="B212" s="9" t="s">
        <v>210</v>
      </c>
    </row>
    <row r="213" spans="1:2" x14ac:dyDescent="0.3">
      <c r="A213" s="11"/>
      <c r="B213" s="2" t="s">
        <v>211</v>
      </c>
    </row>
    <row r="214" spans="1:2" x14ac:dyDescent="0.3">
      <c r="A214" s="17">
        <v>59000</v>
      </c>
      <c r="B214" s="9" t="s">
        <v>212</v>
      </c>
    </row>
    <row r="215" spans="1:2" x14ac:dyDescent="0.3">
      <c r="A215" s="11"/>
      <c r="B215" s="10" t="s">
        <v>213</v>
      </c>
    </row>
    <row r="216" spans="1:2" x14ac:dyDescent="0.3">
      <c r="A216" s="17">
        <v>60001</v>
      </c>
      <c r="B216" s="9" t="s">
        <v>214</v>
      </c>
    </row>
    <row r="217" spans="1:2" x14ac:dyDescent="0.3">
      <c r="A217" s="17">
        <v>60002</v>
      </c>
      <c r="B217" s="9" t="s">
        <v>215</v>
      </c>
    </row>
    <row r="218" spans="1:2" x14ac:dyDescent="0.3">
      <c r="A218" s="11"/>
      <c r="B218" s="2" t="s">
        <v>216</v>
      </c>
    </row>
    <row r="219" spans="1:2" x14ac:dyDescent="0.3">
      <c r="A219" s="17">
        <v>61000</v>
      </c>
      <c r="B219" s="9" t="s">
        <v>217</v>
      </c>
    </row>
    <row r="220" spans="1:2" x14ac:dyDescent="0.3">
      <c r="A220" s="11"/>
      <c r="B220" s="2" t="s">
        <v>218</v>
      </c>
    </row>
    <row r="221" spans="1:2" x14ac:dyDescent="0.3">
      <c r="A221" s="17">
        <v>62000</v>
      </c>
      <c r="B221" s="9" t="s">
        <v>219</v>
      </c>
    </row>
    <row r="222" spans="1:2" x14ac:dyDescent="0.3">
      <c r="A222" s="11"/>
      <c r="B222" s="2" t="s">
        <v>220</v>
      </c>
    </row>
    <row r="223" spans="1:2" x14ac:dyDescent="0.3">
      <c r="A223" s="17">
        <v>63000</v>
      </c>
      <c r="B223" s="9" t="s">
        <v>221</v>
      </c>
    </row>
    <row r="224" spans="1:2" x14ac:dyDescent="0.3">
      <c r="A224" s="7"/>
      <c r="B224" s="8" t="s">
        <v>222</v>
      </c>
    </row>
    <row r="225" spans="1:2" x14ac:dyDescent="0.3">
      <c r="A225" s="11"/>
      <c r="B225" s="2" t="s">
        <v>223</v>
      </c>
    </row>
    <row r="226" spans="1:2" x14ac:dyDescent="0.3">
      <c r="A226" s="17">
        <v>64000</v>
      </c>
      <c r="B226" s="9" t="s">
        <v>224</v>
      </c>
    </row>
    <row r="227" spans="1:2" x14ac:dyDescent="0.3">
      <c r="A227" s="11"/>
      <c r="B227" s="2" t="s">
        <v>225</v>
      </c>
    </row>
    <row r="228" spans="1:2" x14ac:dyDescent="0.3">
      <c r="A228" s="17">
        <v>65000</v>
      </c>
      <c r="B228" s="9" t="s">
        <v>226</v>
      </c>
    </row>
    <row r="229" spans="1:2" x14ac:dyDescent="0.3">
      <c r="A229" s="11"/>
      <c r="B229" s="2" t="s">
        <v>227</v>
      </c>
    </row>
    <row r="230" spans="1:2" x14ac:dyDescent="0.3">
      <c r="A230" s="17">
        <v>66001</v>
      </c>
      <c r="B230" s="9" t="s">
        <v>228</v>
      </c>
    </row>
    <row r="231" spans="1:2" x14ac:dyDescent="0.3">
      <c r="A231" s="17">
        <v>66002</v>
      </c>
      <c r="B231" s="9" t="s">
        <v>229</v>
      </c>
    </row>
    <row r="232" spans="1:2" x14ac:dyDescent="0.3">
      <c r="A232" s="7"/>
      <c r="B232" s="8" t="s">
        <v>230</v>
      </c>
    </row>
    <row r="233" spans="1:2" x14ac:dyDescent="0.3">
      <c r="A233" s="11"/>
      <c r="B233" s="2" t="s">
        <v>230</v>
      </c>
    </row>
    <row r="234" spans="1:2" x14ac:dyDescent="0.3">
      <c r="A234" s="17">
        <v>68000</v>
      </c>
      <c r="B234" s="9" t="s">
        <v>231</v>
      </c>
    </row>
    <row r="235" spans="1:2" x14ac:dyDescent="0.3">
      <c r="A235" s="7"/>
      <c r="B235" s="8" t="s">
        <v>232</v>
      </c>
    </row>
    <row r="236" spans="1:2" x14ac:dyDescent="0.3">
      <c r="A236" s="11"/>
      <c r="B236" s="2" t="s">
        <v>233</v>
      </c>
    </row>
    <row r="237" spans="1:2" x14ac:dyDescent="0.3">
      <c r="A237" s="17">
        <v>69000</v>
      </c>
      <c r="B237" s="9" t="s">
        <v>234</v>
      </c>
    </row>
    <row r="238" spans="1:2" x14ac:dyDescent="0.3">
      <c r="A238" s="6"/>
      <c r="B238" s="2" t="s">
        <v>235</v>
      </c>
    </row>
    <row r="239" spans="1:2" x14ac:dyDescent="0.3">
      <c r="A239" s="17">
        <v>70000</v>
      </c>
      <c r="B239" s="9" t="s">
        <v>236</v>
      </c>
    </row>
    <row r="240" spans="1:2" x14ac:dyDescent="0.3">
      <c r="A240" s="11"/>
      <c r="B240" s="2" t="s">
        <v>237</v>
      </c>
    </row>
    <row r="241" spans="1:2" x14ac:dyDescent="0.3">
      <c r="A241" s="17">
        <v>71000</v>
      </c>
      <c r="B241" s="9" t="s">
        <v>238</v>
      </c>
    </row>
    <row r="242" spans="1:2" x14ac:dyDescent="0.3">
      <c r="A242" s="11"/>
      <c r="B242" s="2" t="s">
        <v>239</v>
      </c>
    </row>
    <row r="243" spans="1:2" x14ac:dyDescent="0.3">
      <c r="A243" s="17">
        <v>72000</v>
      </c>
      <c r="B243" s="9" t="s">
        <v>240</v>
      </c>
    </row>
    <row r="244" spans="1:2" x14ac:dyDescent="0.3">
      <c r="A244" s="11"/>
      <c r="B244" s="2" t="s">
        <v>241</v>
      </c>
    </row>
    <row r="245" spans="1:2" x14ac:dyDescent="0.3">
      <c r="A245" s="17">
        <v>73010</v>
      </c>
      <c r="B245" s="9" t="s">
        <v>242</v>
      </c>
    </row>
    <row r="246" spans="1:2" x14ac:dyDescent="0.3">
      <c r="A246" s="3">
        <v>73020</v>
      </c>
      <c r="B246" s="9" t="s">
        <v>243</v>
      </c>
    </row>
    <row r="247" spans="1:2" x14ac:dyDescent="0.3">
      <c r="A247" s="11"/>
      <c r="B247" s="2" t="s">
        <v>244</v>
      </c>
    </row>
    <row r="248" spans="1:2" x14ac:dyDescent="0.3">
      <c r="A248" s="17">
        <v>74000</v>
      </c>
      <c r="B248" s="9" t="s">
        <v>245</v>
      </c>
    </row>
    <row r="249" spans="1:2" x14ac:dyDescent="0.3">
      <c r="A249" s="11"/>
      <c r="B249" s="2" t="s">
        <v>246</v>
      </c>
    </row>
    <row r="250" spans="1:2" x14ac:dyDescent="0.3">
      <c r="A250" s="17">
        <v>75000</v>
      </c>
      <c r="B250" s="9" t="s">
        <v>247</v>
      </c>
    </row>
    <row r="251" spans="1:2" x14ac:dyDescent="0.3">
      <c r="A251" s="7"/>
      <c r="B251" s="8" t="s">
        <v>248</v>
      </c>
    </row>
    <row r="252" spans="1:2" x14ac:dyDescent="0.3">
      <c r="A252" s="11"/>
      <c r="B252" s="2" t="s">
        <v>249</v>
      </c>
    </row>
    <row r="253" spans="1:2" x14ac:dyDescent="0.3">
      <c r="A253" s="17">
        <v>77010</v>
      </c>
      <c r="B253" s="9" t="s">
        <v>250</v>
      </c>
    </row>
    <row r="254" spans="1:2" x14ac:dyDescent="0.3">
      <c r="A254" s="17">
        <v>77020</v>
      </c>
      <c r="B254" s="9" t="s">
        <v>251</v>
      </c>
    </row>
    <row r="255" spans="1:2" x14ac:dyDescent="0.3">
      <c r="A255" s="11"/>
      <c r="B255" s="2" t="s">
        <v>252</v>
      </c>
    </row>
    <row r="256" spans="1:2" x14ac:dyDescent="0.3">
      <c r="A256" s="17">
        <v>78000</v>
      </c>
      <c r="B256" s="9" t="s">
        <v>253</v>
      </c>
    </row>
    <row r="257" spans="1:2" x14ac:dyDescent="0.3">
      <c r="A257" s="11"/>
      <c r="B257" s="2" t="s">
        <v>254</v>
      </c>
    </row>
    <row r="258" spans="1:2" x14ac:dyDescent="0.3">
      <c r="A258" s="17">
        <v>79000</v>
      </c>
      <c r="B258" s="9" t="s">
        <v>255</v>
      </c>
    </row>
    <row r="259" spans="1:2" x14ac:dyDescent="0.3">
      <c r="A259" s="11"/>
      <c r="B259" s="2" t="s">
        <v>256</v>
      </c>
    </row>
    <row r="260" spans="1:2" x14ac:dyDescent="0.3">
      <c r="A260" s="17">
        <v>80000</v>
      </c>
      <c r="B260" s="9" t="s">
        <v>257</v>
      </c>
    </row>
    <row r="261" spans="1:2" x14ac:dyDescent="0.3">
      <c r="A261" s="11"/>
      <c r="B261" s="2" t="s">
        <v>258</v>
      </c>
    </row>
    <row r="262" spans="1:2" x14ac:dyDescent="0.3">
      <c r="A262" s="17">
        <v>81011</v>
      </c>
      <c r="B262" s="9" t="s">
        <v>259</v>
      </c>
    </row>
    <row r="263" spans="1:2" x14ac:dyDescent="0.3">
      <c r="A263" s="17">
        <v>81012</v>
      </c>
      <c r="B263" s="9" t="s">
        <v>260</v>
      </c>
    </row>
    <row r="264" spans="1:2" x14ac:dyDescent="0.3">
      <c r="A264" s="17">
        <v>81020</v>
      </c>
      <c r="B264" s="9" t="s">
        <v>261</v>
      </c>
    </row>
    <row r="265" spans="1:2" x14ac:dyDescent="0.3">
      <c r="A265" s="11"/>
      <c r="B265" s="2" t="s">
        <v>262</v>
      </c>
    </row>
    <row r="266" spans="1:2" x14ac:dyDescent="0.3">
      <c r="A266" s="3">
        <v>82001</v>
      </c>
      <c r="B266" s="9" t="s">
        <v>263</v>
      </c>
    </row>
    <row r="267" spans="1:2" x14ac:dyDescent="0.3">
      <c r="A267" s="3">
        <v>82002</v>
      </c>
      <c r="B267" s="9" t="s">
        <v>264</v>
      </c>
    </row>
    <row r="268" spans="1:2" x14ac:dyDescent="0.3">
      <c r="A268" s="3">
        <v>82003</v>
      </c>
      <c r="B268" s="9" t="s">
        <v>265</v>
      </c>
    </row>
    <row r="269" spans="1:2" x14ac:dyDescent="0.3">
      <c r="A269" s="17">
        <v>82009</v>
      </c>
      <c r="B269" s="9" t="s">
        <v>266</v>
      </c>
    </row>
    <row r="270" spans="1:2" x14ac:dyDescent="0.3">
      <c r="A270" s="7"/>
      <c r="B270" s="8" t="s">
        <v>267</v>
      </c>
    </row>
    <row r="271" spans="1:2" x14ac:dyDescent="0.3">
      <c r="A271" s="11"/>
      <c r="B271" s="2" t="s">
        <v>267</v>
      </c>
    </row>
    <row r="272" spans="1:2" x14ac:dyDescent="0.3">
      <c r="A272" s="17">
        <v>84011</v>
      </c>
      <c r="B272" s="4" t="s">
        <v>268</v>
      </c>
    </row>
    <row r="273" spans="1:2" x14ac:dyDescent="0.3">
      <c r="A273" s="17">
        <v>84012</v>
      </c>
      <c r="B273" s="4" t="s">
        <v>269</v>
      </c>
    </row>
    <row r="274" spans="1:2" x14ac:dyDescent="0.3">
      <c r="A274" s="17">
        <v>84013</v>
      </c>
      <c r="B274" s="4" t="s">
        <v>270</v>
      </c>
    </row>
    <row r="275" spans="1:2" x14ac:dyDescent="0.3">
      <c r="A275" s="17">
        <v>84014</v>
      </c>
      <c r="B275" s="4" t="s">
        <v>271</v>
      </c>
    </row>
    <row r="276" spans="1:2" x14ac:dyDescent="0.3">
      <c r="A276" s="17">
        <v>84015</v>
      </c>
      <c r="B276" s="4" t="s">
        <v>272</v>
      </c>
    </row>
    <row r="277" spans="1:2" x14ac:dyDescent="0.3">
      <c r="A277" s="17">
        <v>84016</v>
      </c>
      <c r="B277" s="4" t="s">
        <v>273</v>
      </c>
    </row>
    <row r="278" spans="1:2" x14ac:dyDescent="0.3">
      <c r="A278" s="17">
        <v>84017</v>
      </c>
      <c r="B278" s="4" t="s">
        <v>274</v>
      </c>
    </row>
    <row r="279" spans="1:2" x14ac:dyDescent="0.3">
      <c r="A279" s="17">
        <v>84020</v>
      </c>
      <c r="B279" s="4" t="s">
        <v>275</v>
      </c>
    </row>
    <row r="280" spans="1:2" x14ac:dyDescent="0.3">
      <c r="A280" s="7"/>
      <c r="B280" s="8" t="s">
        <v>276</v>
      </c>
    </row>
    <row r="281" spans="1:2" x14ac:dyDescent="0.3">
      <c r="A281" s="11"/>
      <c r="B281" s="2" t="s">
        <v>276</v>
      </c>
    </row>
    <row r="282" spans="1:2" x14ac:dyDescent="0.3">
      <c r="A282" s="17">
        <v>85011</v>
      </c>
      <c r="B282" s="4" t="s">
        <v>277</v>
      </c>
    </row>
    <row r="283" spans="1:2" x14ac:dyDescent="0.3">
      <c r="A283" s="17">
        <v>85012</v>
      </c>
      <c r="B283" s="4" t="s">
        <v>278</v>
      </c>
    </row>
    <row r="284" spans="1:2" x14ac:dyDescent="0.3">
      <c r="A284" s="17">
        <v>85013</v>
      </c>
      <c r="B284" s="4" t="s">
        <v>279</v>
      </c>
    </row>
    <row r="285" spans="1:2" x14ac:dyDescent="0.3">
      <c r="A285" s="18">
        <v>85014</v>
      </c>
      <c r="B285" s="5" t="s">
        <v>280</v>
      </c>
    </row>
    <row r="286" spans="1:2" x14ac:dyDescent="0.3">
      <c r="A286" s="17">
        <v>85021</v>
      </c>
      <c r="B286" s="4" t="s">
        <v>281</v>
      </c>
    </row>
    <row r="287" spans="1:2" x14ac:dyDescent="0.3">
      <c r="A287" s="17">
        <v>85029</v>
      </c>
      <c r="B287" s="4" t="s">
        <v>282</v>
      </c>
    </row>
    <row r="288" spans="1:2" x14ac:dyDescent="0.3">
      <c r="A288" s="7"/>
      <c r="B288" s="8" t="s">
        <v>283</v>
      </c>
    </row>
    <row r="289" spans="1:2" x14ac:dyDescent="0.3">
      <c r="A289" s="11"/>
      <c r="B289" s="2" t="s">
        <v>284</v>
      </c>
    </row>
    <row r="290" spans="1:2" x14ac:dyDescent="0.3">
      <c r="A290" s="3">
        <v>86001</v>
      </c>
      <c r="B290" s="4" t="s">
        <v>285</v>
      </c>
    </row>
    <row r="291" spans="1:2" x14ac:dyDescent="0.3">
      <c r="A291" s="3">
        <v>86002</v>
      </c>
      <c r="B291" s="4" t="s">
        <v>286</v>
      </c>
    </row>
    <row r="292" spans="1:2" x14ac:dyDescent="0.3">
      <c r="A292" s="3">
        <v>86003</v>
      </c>
      <c r="B292" s="4" t="s">
        <v>287</v>
      </c>
    </row>
    <row r="293" spans="1:2" x14ac:dyDescent="0.3">
      <c r="A293" s="17">
        <v>86004</v>
      </c>
      <c r="B293" s="4" t="s">
        <v>288</v>
      </c>
    </row>
    <row r="294" spans="1:2" x14ac:dyDescent="0.3">
      <c r="A294" s="17">
        <v>86009</v>
      </c>
      <c r="B294" s="4" t="s">
        <v>289</v>
      </c>
    </row>
    <row r="295" spans="1:2" ht="26.4" x14ac:dyDescent="0.3">
      <c r="A295" s="11"/>
      <c r="B295" s="2" t="s">
        <v>290</v>
      </c>
    </row>
    <row r="296" spans="1:2" x14ac:dyDescent="0.3">
      <c r="A296" s="3">
        <v>87000</v>
      </c>
      <c r="B296" s="4" t="s">
        <v>291</v>
      </c>
    </row>
    <row r="297" spans="1:2" x14ac:dyDescent="0.3">
      <c r="A297" s="11"/>
      <c r="B297" s="2" t="s">
        <v>292</v>
      </c>
    </row>
    <row r="298" spans="1:2" x14ac:dyDescent="0.3">
      <c r="A298" s="3">
        <v>88000</v>
      </c>
      <c r="B298" s="4" t="s">
        <v>293</v>
      </c>
    </row>
    <row r="299" spans="1:2" x14ac:dyDescent="0.3">
      <c r="A299" s="7"/>
      <c r="B299" s="13" t="s">
        <v>294</v>
      </c>
    </row>
    <row r="300" spans="1:2" x14ac:dyDescent="0.3">
      <c r="A300" s="11"/>
      <c r="B300" s="2" t="s">
        <v>295</v>
      </c>
    </row>
    <row r="301" spans="1:2" x14ac:dyDescent="0.3">
      <c r="A301" s="3">
        <v>90000</v>
      </c>
      <c r="B301" s="4" t="s">
        <v>296</v>
      </c>
    </row>
    <row r="302" spans="1:2" x14ac:dyDescent="0.3">
      <c r="A302" s="11"/>
      <c r="B302" s="2" t="s">
        <v>297</v>
      </c>
    </row>
    <row r="303" spans="1:2" x14ac:dyDescent="0.3">
      <c r="A303" s="3">
        <v>91000</v>
      </c>
      <c r="B303" s="9" t="s">
        <v>298</v>
      </c>
    </row>
    <row r="304" spans="1:2" x14ac:dyDescent="0.3">
      <c r="A304" s="11"/>
      <c r="B304" s="2" t="s">
        <v>299</v>
      </c>
    </row>
    <row r="305" spans="1:2" x14ac:dyDescent="0.3">
      <c r="A305" s="3">
        <v>92000</v>
      </c>
      <c r="B305" s="9" t="s">
        <v>300</v>
      </c>
    </row>
    <row r="306" spans="1:2" x14ac:dyDescent="0.3">
      <c r="A306" s="11"/>
      <c r="B306" s="2" t="s">
        <v>301</v>
      </c>
    </row>
    <row r="307" spans="1:2" x14ac:dyDescent="0.3">
      <c r="A307" s="17">
        <v>93011</v>
      </c>
      <c r="B307" s="9" t="s">
        <v>302</v>
      </c>
    </row>
    <row r="308" spans="1:2" x14ac:dyDescent="0.3">
      <c r="A308" s="17">
        <v>93012</v>
      </c>
      <c r="B308" s="9" t="s">
        <v>303</v>
      </c>
    </row>
    <row r="309" spans="1:2" x14ac:dyDescent="0.3">
      <c r="A309" s="17">
        <v>93020</v>
      </c>
      <c r="B309" s="9" t="s">
        <v>304</v>
      </c>
    </row>
    <row r="310" spans="1:2" x14ac:dyDescent="0.3">
      <c r="A310" s="7"/>
      <c r="B310" s="8" t="s">
        <v>305</v>
      </c>
    </row>
    <row r="311" spans="1:2" x14ac:dyDescent="0.3">
      <c r="A311" s="11"/>
      <c r="B311" s="2" t="s">
        <v>306</v>
      </c>
    </row>
    <row r="312" spans="1:2" x14ac:dyDescent="0.3">
      <c r="A312" s="17">
        <v>94010</v>
      </c>
      <c r="B312" s="9" t="s">
        <v>307</v>
      </c>
    </row>
    <row r="313" spans="1:2" x14ac:dyDescent="0.3">
      <c r="A313" s="17">
        <v>94020</v>
      </c>
      <c r="B313" s="9" t="s">
        <v>308</v>
      </c>
    </row>
    <row r="314" spans="1:2" x14ac:dyDescent="0.3">
      <c r="A314" s="17">
        <v>94091</v>
      </c>
      <c r="B314" s="9" t="s">
        <v>309</v>
      </c>
    </row>
    <row r="315" spans="1:2" x14ac:dyDescent="0.3">
      <c r="A315" s="17">
        <v>94099</v>
      </c>
      <c r="B315" s="9" t="s">
        <v>310</v>
      </c>
    </row>
    <row r="316" spans="1:2" x14ac:dyDescent="0.3">
      <c r="A316" s="11"/>
      <c r="B316" s="2" t="s">
        <v>311</v>
      </c>
    </row>
    <row r="317" spans="1:2" x14ac:dyDescent="0.3">
      <c r="A317" s="17">
        <v>95010</v>
      </c>
      <c r="B317" s="9" t="s">
        <v>312</v>
      </c>
    </row>
    <row r="318" spans="1:2" x14ac:dyDescent="0.3">
      <c r="A318" s="17">
        <v>95030</v>
      </c>
      <c r="B318" s="9" t="s">
        <v>313</v>
      </c>
    </row>
    <row r="319" spans="1:2" x14ac:dyDescent="0.3">
      <c r="A319" s="11"/>
      <c r="B319" s="2" t="s">
        <v>314</v>
      </c>
    </row>
    <row r="320" spans="1:2" x14ac:dyDescent="0.3">
      <c r="A320" s="17">
        <v>96010</v>
      </c>
      <c r="B320" s="4" t="s">
        <v>315</v>
      </c>
    </row>
    <row r="321" spans="1:2" x14ac:dyDescent="0.3">
      <c r="A321" s="17">
        <v>96020</v>
      </c>
      <c r="B321" s="4" t="s">
        <v>316</v>
      </c>
    </row>
    <row r="322" spans="1:2" x14ac:dyDescent="0.3">
      <c r="A322" s="17">
        <v>96030</v>
      </c>
      <c r="B322" s="4" t="s">
        <v>317</v>
      </c>
    </row>
    <row r="323" spans="1:2" x14ac:dyDescent="0.3">
      <c r="A323" s="17">
        <v>96090</v>
      </c>
      <c r="B323" s="4" t="s">
        <v>318</v>
      </c>
    </row>
    <row r="324" spans="1:2" x14ac:dyDescent="0.3">
      <c r="A324" s="7"/>
      <c r="B324" s="8" t="s">
        <v>319</v>
      </c>
    </row>
    <row r="325" spans="1:2" x14ac:dyDescent="0.3">
      <c r="A325" s="6"/>
      <c r="B325" s="2" t="s">
        <v>319</v>
      </c>
    </row>
    <row r="326" spans="1:2" x14ac:dyDescent="0.3">
      <c r="A326" s="3">
        <v>97000</v>
      </c>
      <c r="B326" s="9" t="s">
        <v>320</v>
      </c>
    </row>
    <row r="327" spans="1:2" x14ac:dyDescent="0.3">
      <c r="A327" s="7"/>
      <c r="B327" s="8" t="s">
        <v>321</v>
      </c>
    </row>
    <row r="328" spans="1:2" x14ac:dyDescent="0.3">
      <c r="A328" s="6"/>
      <c r="B328" s="2" t="s">
        <v>321</v>
      </c>
    </row>
    <row r="329" spans="1:2" x14ac:dyDescent="0.3">
      <c r="A329" s="3">
        <v>99000</v>
      </c>
      <c r="B329" s="9" t="s">
        <v>322</v>
      </c>
    </row>
    <row r="330" spans="1:2" x14ac:dyDescent="0.3">
      <c r="A330" s="7"/>
      <c r="B330" s="8" t="s">
        <v>323</v>
      </c>
    </row>
    <row r="331" spans="1:2" x14ac:dyDescent="0.3">
      <c r="A331" s="6"/>
      <c r="B331" s="10" t="s">
        <v>324</v>
      </c>
    </row>
    <row r="332" spans="1:2" x14ac:dyDescent="0.3">
      <c r="A332" s="20">
        <v>0</v>
      </c>
      <c r="B332" s="14" t="s">
        <v>324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99C34-2A00-4B08-B42A-8DF5383046B4}">
  <dimension ref="B2:C141"/>
  <sheetViews>
    <sheetView showGridLines="0" topLeftCell="A122" workbookViewId="0">
      <selection activeCell="B3" sqref="B3:C141"/>
    </sheetView>
  </sheetViews>
  <sheetFormatPr defaultRowHeight="14.4" x14ac:dyDescent="0.3"/>
  <sheetData>
    <row r="2" spans="2:3" x14ac:dyDescent="0.3">
      <c r="B2" s="15"/>
      <c r="C2" t="s">
        <v>328</v>
      </c>
    </row>
    <row r="3" spans="2:3" x14ac:dyDescent="0.3">
      <c r="B3" s="15">
        <v>1102</v>
      </c>
      <c r="C3">
        <v>159.717862</v>
      </c>
    </row>
    <row r="4" spans="2:3" x14ac:dyDescent="0.3">
      <c r="B4" s="15">
        <v>1107</v>
      </c>
      <c r="C4">
        <v>130.69198600000001</v>
      </c>
    </row>
    <row r="5" spans="2:3" x14ac:dyDescent="0.3">
      <c r="B5" s="15">
        <v>1108</v>
      </c>
      <c r="C5">
        <v>171.63484</v>
      </c>
    </row>
    <row r="6" spans="2:3" x14ac:dyDescent="0.3">
      <c r="B6" s="15">
        <v>1109</v>
      </c>
      <c r="C6">
        <v>23.443549000000001</v>
      </c>
    </row>
    <row r="7" spans="2:3" x14ac:dyDescent="0.3">
      <c r="B7" s="15">
        <v>1110</v>
      </c>
      <c r="C7">
        <v>886.59685400000001</v>
      </c>
    </row>
    <row r="8" spans="2:3" x14ac:dyDescent="0.3">
      <c r="B8" s="15">
        <v>1112</v>
      </c>
      <c r="C8">
        <v>97.412560999999997</v>
      </c>
    </row>
    <row r="9" spans="2:3" x14ac:dyDescent="0.3">
      <c r="B9" s="15">
        <v>1114</v>
      </c>
      <c r="C9">
        <v>7.2329210000000002</v>
      </c>
    </row>
    <row r="10" spans="2:3" x14ac:dyDescent="0.3">
      <c r="B10" s="15">
        <v>1116</v>
      </c>
      <c r="C10">
        <v>1529.0325089999999</v>
      </c>
    </row>
    <row r="11" spans="2:3" x14ac:dyDescent="0.3">
      <c r="B11" s="15">
        <v>1117</v>
      </c>
      <c r="C11">
        <v>134.47756699999999</v>
      </c>
    </row>
    <row r="12" spans="2:3" x14ac:dyDescent="0.3">
      <c r="B12" s="15">
        <v>1201</v>
      </c>
      <c r="C12">
        <v>1210.987533</v>
      </c>
    </row>
    <row r="13" spans="2:3" x14ac:dyDescent="0.3">
      <c r="B13" s="15">
        <v>1202</v>
      </c>
      <c r="C13">
        <v>0</v>
      </c>
    </row>
    <row r="14" spans="2:3" x14ac:dyDescent="0.3">
      <c r="B14" s="15">
        <v>1204</v>
      </c>
      <c r="C14">
        <v>0</v>
      </c>
    </row>
    <row r="15" spans="2:3" x14ac:dyDescent="0.3">
      <c r="B15" s="15">
        <v>1205</v>
      </c>
      <c r="C15">
        <v>423.03640999999999</v>
      </c>
    </row>
    <row r="16" spans="2:3" x14ac:dyDescent="0.3">
      <c r="B16" s="15">
        <v>1401</v>
      </c>
      <c r="C16">
        <v>403.462154</v>
      </c>
    </row>
    <row r="17" spans="2:3" x14ac:dyDescent="0.3">
      <c r="B17" s="15">
        <v>1402</v>
      </c>
      <c r="C17">
        <v>417.09415999999999</v>
      </c>
    </row>
    <row r="18" spans="2:3" x14ac:dyDescent="0.3">
      <c r="B18" s="15">
        <v>2000</v>
      </c>
      <c r="C18">
        <v>82.358579000000006</v>
      </c>
    </row>
    <row r="19" spans="2:3" x14ac:dyDescent="0.3">
      <c r="B19" s="15">
        <v>3001</v>
      </c>
      <c r="C19">
        <v>262.89658600000001</v>
      </c>
    </row>
    <row r="20" spans="2:3" x14ac:dyDescent="0.3">
      <c r="B20" s="15">
        <v>3002</v>
      </c>
      <c r="C20">
        <v>88.227209000000002</v>
      </c>
    </row>
    <row r="21" spans="2:3" x14ac:dyDescent="0.3">
      <c r="B21" s="15">
        <v>7001</v>
      </c>
      <c r="C21">
        <v>101.08289600000001</v>
      </c>
    </row>
    <row r="22" spans="2:3" x14ac:dyDescent="0.3">
      <c r="B22" s="15">
        <v>8001</v>
      </c>
      <c r="C22">
        <v>0</v>
      </c>
    </row>
    <row r="23" spans="2:3" x14ac:dyDescent="0.3">
      <c r="B23" s="15">
        <v>10010</v>
      </c>
      <c r="C23">
        <v>0</v>
      </c>
    </row>
    <row r="24" spans="2:3" x14ac:dyDescent="0.3">
      <c r="B24" s="15">
        <v>10022</v>
      </c>
      <c r="C24">
        <v>58.704822999999998</v>
      </c>
    </row>
    <row r="25" spans="2:3" x14ac:dyDescent="0.3">
      <c r="B25" s="15">
        <v>10030</v>
      </c>
      <c r="C25">
        <v>0</v>
      </c>
    </row>
    <row r="26" spans="2:3" x14ac:dyDescent="0.3">
      <c r="B26" s="15">
        <v>10091</v>
      </c>
      <c r="C26">
        <v>0</v>
      </c>
    </row>
    <row r="27" spans="2:3" x14ac:dyDescent="0.3">
      <c r="B27" s="15">
        <v>10099</v>
      </c>
      <c r="C27">
        <v>508.902649</v>
      </c>
    </row>
    <row r="28" spans="2:3" x14ac:dyDescent="0.3">
      <c r="B28" s="15">
        <v>11000</v>
      </c>
      <c r="C28">
        <v>0</v>
      </c>
    </row>
    <row r="29" spans="2:3" x14ac:dyDescent="0.3">
      <c r="B29" s="15">
        <v>13001</v>
      </c>
      <c r="C29">
        <v>0</v>
      </c>
    </row>
    <row r="30" spans="2:3" x14ac:dyDescent="0.3">
      <c r="B30" s="15">
        <v>13002</v>
      </c>
      <c r="C30">
        <v>111.290847</v>
      </c>
    </row>
    <row r="31" spans="2:3" x14ac:dyDescent="0.3">
      <c r="B31" s="15">
        <v>14001</v>
      </c>
      <c r="C31">
        <v>307.435856</v>
      </c>
    </row>
    <row r="32" spans="2:3" x14ac:dyDescent="0.3">
      <c r="B32" s="15">
        <v>14002</v>
      </c>
      <c r="C32">
        <v>374.74994099999998</v>
      </c>
    </row>
    <row r="33" spans="2:3" x14ac:dyDescent="0.3">
      <c r="B33" s="15">
        <v>16001</v>
      </c>
      <c r="C33">
        <v>111.216019</v>
      </c>
    </row>
    <row r="34" spans="2:3" x14ac:dyDescent="0.3">
      <c r="B34" s="15">
        <v>16002</v>
      </c>
      <c r="C34">
        <v>76.941695999999993</v>
      </c>
    </row>
    <row r="35" spans="2:3" x14ac:dyDescent="0.3">
      <c r="B35" s="15">
        <v>17002</v>
      </c>
      <c r="C35">
        <v>74.887720000000002</v>
      </c>
    </row>
    <row r="36" spans="2:3" x14ac:dyDescent="0.3">
      <c r="B36" s="15">
        <v>18000</v>
      </c>
      <c r="C36">
        <v>0</v>
      </c>
    </row>
    <row r="37" spans="2:3" x14ac:dyDescent="0.3">
      <c r="B37" s="15">
        <v>22020</v>
      </c>
      <c r="C37">
        <v>0</v>
      </c>
    </row>
    <row r="38" spans="2:3" x14ac:dyDescent="0.3">
      <c r="B38" s="15">
        <v>23091</v>
      </c>
      <c r="C38">
        <v>16.664556999999999</v>
      </c>
    </row>
    <row r="39" spans="2:3" x14ac:dyDescent="0.3">
      <c r="B39" s="15">
        <v>23099</v>
      </c>
      <c r="C39">
        <v>111.04906</v>
      </c>
    </row>
    <row r="40" spans="2:3" x14ac:dyDescent="0.3">
      <c r="B40" s="15">
        <v>25001</v>
      </c>
      <c r="C40">
        <v>111.75047600000001</v>
      </c>
    </row>
    <row r="41" spans="2:3" x14ac:dyDescent="0.3">
      <c r="B41" s="15">
        <v>25002</v>
      </c>
      <c r="C41">
        <v>0</v>
      </c>
    </row>
    <row r="42" spans="2:3" x14ac:dyDescent="0.3">
      <c r="B42" s="15">
        <v>26010</v>
      </c>
      <c r="C42">
        <v>0</v>
      </c>
    </row>
    <row r="43" spans="2:3" x14ac:dyDescent="0.3">
      <c r="B43" s="15">
        <v>31000</v>
      </c>
      <c r="C43">
        <v>714.40598999999997</v>
      </c>
    </row>
    <row r="44" spans="2:3" x14ac:dyDescent="0.3">
      <c r="B44" s="15">
        <v>32001</v>
      </c>
      <c r="C44">
        <v>0</v>
      </c>
    </row>
    <row r="45" spans="2:3" x14ac:dyDescent="0.3">
      <c r="B45" s="15">
        <v>32009</v>
      </c>
      <c r="C45">
        <v>0</v>
      </c>
    </row>
    <row r="46" spans="2:3" x14ac:dyDescent="0.3">
      <c r="B46" s="15">
        <v>33001</v>
      </c>
      <c r="C46">
        <v>234.868121</v>
      </c>
    </row>
    <row r="47" spans="2:3" x14ac:dyDescent="0.3">
      <c r="B47" s="15">
        <v>33002</v>
      </c>
      <c r="C47">
        <v>0</v>
      </c>
    </row>
    <row r="48" spans="2:3" x14ac:dyDescent="0.3">
      <c r="B48" s="15">
        <v>35010</v>
      </c>
      <c r="C48">
        <v>1337.8065710000001</v>
      </c>
    </row>
    <row r="49" spans="2:3" x14ac:dyDescent="0.3">
      <c r="B49" s="15">
        <v>36000</v>
      </c>
      <c r="C49">
        <v>803.35440800000003</v>
      </c>
    </row>
    <row r="50" spans="2:3" x14ac:dyDescent="0.3">
      <c r="B50" s="15">
        <v>38000</v>
      </c>
      <c r="C50">
        <v>272.90419200000002</v>
      </c>
    </row>
    <row r="51" spans="2:3" x14ac:dyDescent="0.3">
      <c r="B51" s="15">
        <v>41000</v>
      </c>
      <c r="C51">
        <v>5476.7692619999998</v>
      </c>
    </row>
    <row r="52" spans="2:3" x14ac:dyDescent="0.3">
      <c r="B52" s="15">
        <v>42000</v>
      </c>
      <c r="C52">
        <v>666.212583</v>
      </c>
    </row>
    <row r="53" spans="2:3" x14ac:dyDescent="0.3">
      <c r="B53" s="15">
        <v>43000</v>
      </c>
      <c r="C53">
        <v>2300.5458979999999</v>
      </c>
    </row>
    <row r="54" spans="2:3" x14ac:dyDescent="0.3">
      <c r="B54" s="15">
        <v>45010</v>
      </c>
      <c r="C54">
        <v>814.76924499999996</v>
      </c>
    </row>
    <row r="55" spans="2:3" x14ac:dyDescent="0.3">
      <c r="B55" s="15">
        <v>45020</v>
      </c>
      <c r="C55">
        <v>1385.0138159999999</v>
      </c>
    </row>
    <row r="56" spans="2:3" x14ac:dyDescent="0.3">
      <c r="B56" s="15">
        <v>45030</v>
      </c>
      <c r="C56">
        <v>115.425889</v>
      </c>
    </row>
    <row r="57" spans="2:3" x14ac:dyDescent="0.3">
      <c r="B57" s="15">
        <v>45040</v>
      </c>
      <c r="C57">
        <v>652.13713800000005</v>
      </c>
    </row>
    <row r="58" spans="2:3" x14ac:dyDescent="0.3">
      <c r="B58" s="15">
        <v>48020</v>
      </c>
      <c r="C58">
        <v>193.32152300000001</v>
      </c>
    </row>
    <row r="59" spans="2:3" x14ac:dyDescent="0.3">
      <c r="B59" s="15">
        <v>48030</v>
      </c>
      <c r="C59">
        <v>2031.444673</v>
      </c>
    </row>
    <row r="60" spans="2:3" x14ac:dyDescent="0.3">
      <c r="B60" s="15">
        <v>48041</v>
      </c>
      <c r="C60">
        <v>0</v>
      </c>
    </row>
    <row r="61" spans="2:3" x14ac:dyDescent="0.3">
      <c r="B61" s="15">
        <v>48042</v>
      </c>
      <c r="C61">
        <v>1527.5099540000001</v>
      </c>
    </row>
    <row r="62" spans="2:3" x14ac:dyDescent="0.3">
      <c r="B62" s="15">
        <v>48050</v>
      </c>
      <c r="C62">
        <v>1150.8272689999999</v>
      </c>
    </row>
    <row r="63" spans="2:3" x14ac:dyDescent="0.3">
      <c r="B63" s="15">
        <v>48060</v>
      </c>
      <c r="C63">
        <v>101.61784299999999</v>
      </c>
    </row>
    <row r="64" spans="2:3" x14ac:dyDescent="0.3">
      <c r="B64" s="15">
        <v>48071</v>
      </c>
      <c r="C64">
        <v>899.65289099999995</v>
      </c>
    </row>
    <row r="65" spans="2:3" x14ac:dyDescent="0.3">
      <c r="B65" s="15">
        <v>48072</v>
      </c>
      <c r="C65">
        <v>229.78215499999999</v>
      </c>
    </row>
    <row r="66" spans="2:3" x14ac:dyDescent="0.3">
      <c r="B66" s="15">
        <v>48073</v>
      </c>
      <c r="C66">
        <v>360.89586000000003</v>
      </c>
    </row>
    <row r="67" spans="2:3" x14ac:dyDescent="0.3">
      <c r="B67" s="15">
        <v>48074</v>
      </c>
      <c r="C67">
        <v>181.20531800000001</v>
      </c>
    </row>
    <row r="68" spans="2:3" x14ac:dyDescent="0.3">
      <c r="B68" s="15">
        <v>48075</v>
      </c>
      <c r="C68">
        <v>1012.730922</v>
      </c>
    </row>
    <row r="69" spans="2:3" x14ac:dyDescent="0.3">
      <c r="B69" s="15">
        <v>48076</v>
      </c>
      <c r="C69">
        <v>0</v>
      </c>
    </row>
    <row r="70" spans="2:3" x14ac:dyDescent="0.3">
      <c r="B70" s="15">
        <v>48078</v>
      </c>
      <c r="C70">
        <v>257.25349299999999</v>
      </c>
    </row>
    <row r="71" spans="2:3" x14ac:dyDescent="0.3">
      <c r="B71" s="15">
        <v>48079</v>
      </c>
      <c r="C71">
        <v>314.39618200000001</v>
      </c>
    </row>
    <row r="72" spans="2:3" x14ac:dyDescent="0.3">
      <c r="B72" s="15">
        <v>48080</v>
      </c>
      <c r="C72">
        <v>1266.427619</v>
      </c>
    </row>
    <row r="73" spans="2:3" x14ac:dyDescent="0.3">
      <c r="B73" s="15">
        <v>48090</v>
      </c>
      <c r="C73">
        <v>0</v>
      </c>
    </row>
    <row r="74" spans="2:3" x14ac:dyDescent="0.3">
      <c r="B74" s="15">
        <v>48100</v>
      </c>
      <c r="C74">
        <v>386.33860299999998</v>
      </c>
    </row>
    <row r="75" spans="2:3" x14ac:dyDescent="0.3">
      <c r="B75" s="15">
        <v>49030</v>
      </c>
      <c r="C75">
        <v>2447.9432999999999</v>
      </c>
    </row>
    <row r="76" spans="2:3" x14ac:dyDescent="0.3">
      <c r="B76" s="15">
        <v>49040</v>
      </c>
      <c r="C76">
        <v>718.625629</v>
      </c>
    </row>
    <row r="77" spans="2:3" x14ac:dyDescent="0.3">
      <c r="B77" s="15">
        <v>51000</v>
      </c>
      <c r="C77">
        <v>0</v>
      </c>
    </row>
    <row r="78" spans="2:3" x14ac:dyDescent="0.3">
      <c r="B78" s="15">
        <v>52010</v>
      </c>
      <c r="C78">
        <v>0</v>
      </c>
    </row>
    <row r="79" spans="2:3" x14ac:dyDescent="0.3">
      <c r="B79" s="15">
        <v>52020</v>
      </c>
      <c r="C79">
        <v>107.800167</v>
      </c>
    </row>
    <row r="80" spans="2:3" x14ac:dyDescent="0.3">
      <c r="B80" s="15">
        <v>53001</v>
      </c>
      <c r="C80">
        <v>28.039023</v>
      </c>
    </row>
    <row r="81" spans="2:3" x14ac:dyDescent="0.3">
      <c r="B81" s="15">
        <v>53002</v>
      </c>
      <c r="C81">
        <v>434.005043</v>
      </c>
    </row>
    <row r="82" spans="2:3" x14ac:dyDescent="0.3">
      <c r="B82" s="15">
        <v>55000</v>
      </c>
      <c r="C82">
        <v>403.54064099999999</v>
      </c>
    </row>
    <row r="83" spans="2:3" x14ac:dyDescent="0.3">
      <c r="B83" s="15">
        <v>56011</v>
      </c>
      <c r="C83">
        <v>1681.6729230000001</v>
      </c>
    </row>
    <row r="84" spans="2:3" x14ac:dyDescent="0.3">
      <c r="B84" s="15">
        <v>56012</v>
      </c>
      <c r="C84">
        <v>269.86046800000003</v>
      </c>
    </row>
    <row r="85" spans="2:3" x14ac:dyDescent="0.3">
      <c r="B85" s="15">
        <v>56020</v>
      </c>
      <c r="C85">
        <v>0</v>
      </c>
    </row>
    <row r="86" spans="2:3" x14ac:dyDescent="0.3">
      <c r="B86" s="15">
        <v>58000</v>
      </c>
      <c r="C86">
        <v>257.47397699999999</v>
      </c>
    </row>
    <row r="87" spans="2:3" x14ac:dyDescent="0.3">
      <c r="B87" s="15">
        <v>60001</v>
      </c>
      <c r="C87">
        <v>129.58938000000001</v>
      </c>
    </row>
    <row r="88" spans="2:3" x14ac:dyDescent="0.3">
      <c r="B88" s="15">
        <v>60002</v>
      </c>
      <c r="C88">
        <v>103.86923899999999</v>
      </c>
    </row>
    <row r="89" spans="2:3" x14ac:dyDescent="0.3">
      <c r="B89" s="15">
        <v>61000</v>
      </c>
      <c r="C89">
        <v>0</v>
      </c>
    </row>
    <row r="90" spans="2:3" x14ac:dyDescent="0.3">
      <c r="B90" s="15">
        <v>62000</v>
      </c>
      <c r="C90">
        <v>0</v>
      </c>
    </row>
    <row r="91" spans="2:3" x14ac:dyDescent="0.3">
      <c r="B91" s="15">
        <v>63000</v>
      </c>
      <c r="C91">
        <v>0</v>
      </c>
    </row>
    <row r="92" spans="2:3" x14ac:dyDescent="0.3">
      <c r="B92" s="15">
        <v>64000</v>
      </c>
      <c r="C92">
        <v>580.58256500000005</v>
      </c>
    </row>
    <row r="93" spans="2:3" x14ac:dyDescent="0.3">
      <c r="B93" s="15">
        <v>65000</v>
      </c>
      <c r="C93">
        <v>0</v>
      </c>
    </row>
    <row r="94" spans="2:3" x14ac:dyDescent="0.3">
      <c r="B94" s="15">
        <v>66002</v>
      </c>
      <c r="C94">
        <v>0</v>
      </c>
    </row>
    <row r="95" spans="2:3" x14ac:dyDescent="0.3">
      <c r="B95" s="15">
        <v>68000</v>
      </c>
      <c r="C95">
        <v>0</v>
      </c>
    </row>
    <row r="96" spans="2:3" x14ac:dyDescent="0.3">
      <c r="B96" s="15">
        <v>69000</v>
      </c>
      <c r="C96">
        <v>1474.26963</v>
      </c>
    </row>
    <row r="97" spans="2:3" x14ac:dyDescent="0.3">
      <c r="B97" s="15">
        <v>70000</v>
      </c>
      <c r="C97">
        <v>0</v>
      </c>
    </row>
    <row r="98" spans="2:3" x14ac:dyDescent="0.3">
      <c r="B98" s="15">
        <v>71000</v>
      </c>
      <c r="C98">
        <v>396.28863200000001</v>
      </c>
    </row>
    <row r="99" spans="2:3" x14ac:dyDescent="0.3">
      <c r="B99" s="15">
        <v>72000</v>
      </c>
      <c r="C99">
        <v>335.33286700000002</v>
      </c>
    </row>
    <row r="100" spans="2:3" x14ac:dyDescent="0.3">
      <c r="B100" s="15">
        <v>73010</v>
      </c>
      <c r="C100">
        <v>594.52417300000002</v>
      </c>
    </row>
    <row r="101" spans="2:3" x14ac:dyDescent="0.3">
      <c r="B101" s="15">
        <v>74000</v>
      </c>
      <c r="C101">
        <v>88.659366000000006</v>
      </c>
    </row>
    <row r="102" spans="2:3" x14ac:dyDescent="0.3">
      <c r="B102" s="15">
        <v>75000</v>
      </c>
      <c r="C102">
        <v>98.082897000000003</v>
      </c>
    </row>
    <row r="103" spans="2:3" x14ac:dyDescent="0.3">
      <c r="B103" s="15">
        <v>77010</v>
      </c>
      <c r="C103">
        <v>94.667670999999999</v>
      </c>
    </row>
    <row r="104" spans="2:3" x14ac:dyDescent="0.3">
      <c r="B104" s="15">
        <v>78000</v>
      </c>
      <c r="C104">
        <v>4804.8595919999998</v>
      </c>
    </row>
    <row r="105" spans="2:3" x14ac:dyDescent="0.3">
      <c r="B105" s="15">
        <v>80000</v>
      </c>
      <c r="C105">
        <v>605.05621299999996</v>
      </c>
    </row>
    <row r="106" spans="2:3" x14ac:dyDescent="0.3">
      <c r="B106" s="15">
        <v>81011</v>
      </c>
      <c r="C106">
        <v>2180.7805290000001</v>
      </c>
    </row>
    <row r="107" spans="2:3" x14ac:dyDescent="0.3">
      <c r="B107" s="15">
        <v>81020</v>
      </c>
      <c r="C107">
        <v>0</v>
      </c>
    </row>
    <row r="108" spans="2:3" x14ac:dyDescent="0.3">
      <c r="B108" s="15">
        <v>82003</v>
      </c>
      <c r="C108">
        <v>0</v>
      </c>
    </row>
    <row r="109" spans="2:3" x14ac:dyDescent="0.3">
      <c r="B109" s="15">
        <v>82009</v>
      </c>
      <c r="C109">
        <v>131.52883800000001</v>
      </c>
    </row>
    <row r="110" spans="2:3" x14ac:dyDescent="0.3">
      <c r="B110" s="15">
        <v>84011</v>
      </c>
      <c r="C110">
        <v>1549.600117</v>
      </c>
    </row>
    <row r="111" spans="2:3" x14ac:dyDescent="0.3">
      <c r="B111" s="15">
        <v>84012</v>
      </c>
      <c r="C111">
        <v>4884.1134009999996</v>
      </c>
    </row>
    <row r="112" spans="2:3" x14ac:dyDescent="0.3">
      <c r="B112" s="15">
        <v>84013</v>
      </c>
      <c r="C112">
        <v>3250.6191370000001</v>
      </c>
    </row>
    <row r="113" spans="2:3" x14ac:dyDescent="0.3">
      <c r="B113" s="15">
        <v>84014</v>
      </c>
      <c r="C113">
        <v>1607.582171</v>
      </c>
    </row>
    <row r="114" spans="2:3" x14ac:dyDescent="0.3">
      <c r="B114" s="15">
        <v>84015</v>
      </c>
      <c r="C114">
        <v>0</v>
      </c>
    </row>
    <row r="115" spans="2:3" x14ac:dyDescent="0.3">
      <c r="B115" s="15">
        <v>84016</v>
      </c>
      <c r="C115">
        <v>2003.5893639999999</v>
      </c>
    </row>
    <row r="116" spans="2:3" x14ac:dyDescent="0.3">
      <c r="B116" s="15">
        <v>84017</v>
      </c>
      <c r="C116">
        <v>271.55216300000001</v>
      </c>
    </row>
    <row r="117" spans="2:3" x14ac:dyDescent="0.3">
      <c r="B117" s="15">
        <v>84020</v>
      </c>
      <c r="C117">
        <v>0</v>
      </c>
    </row>
    <row r="118" spans="2:3" x14ac:dyDescent="0.3">
      <c r="B118" s="15">
        <v>85011</v>
      </c>
      <c r="C118">
        <v>234.06443999999999</v>
      </c>
    </row>
    <row r="119" spans="2:3" x14ac:dyDescent="0.3">
      <c r="B119" s="15">
        <v>85012</v>
      </c>
      <c r="C119">
        <v>4108.7900760000002</v>
      </c>
    </row>
    <row r="120" spans="2:3" x14ac:dyDescent="0.3">
      <c r="B120" s="15">
        <v>85013</v>
      </c>
      <c r="C120">
        <v>1974.271673</v>
      </c>
    </row>
    <row r="121" spans="2:3" x14ac:dyDescent="0.3">
      <c r="B121" s="15">
        <v>85014</v>
      </c>
      <c r="C121">
        <v>2207.306</v>
      </c>
    </row>
    <row r="122" spans="2:3" x14ac:dyDescent="0.3">
      <c r="B122" s="15">
        <v>85021</v>
      </c>
      <c r="C122">
        <v>0</v>
      </c>
    </row>
    <row r="123" spans="2:3" x14ac:dyDescent="0.3">
      <c r="B123" s="15">
        <v>85029</v>
      </c>
      <c r="C123">
        <v>350.36897299999998</v>
      </c>
    </row>
    <row r="124" spans="2:3" x14ac:dyDescent="0.3">
      <c r="B124" s="15">
        <v>86001</v>
      </c>
      <c r="C124">
        <v>1601.563357</v>
      </c>
    </row>
    <row r="125" spans="2:3" x14ac:dyDescent="0.3">
      <c r="B125" s="15">
        <v>86002</v>
      </c>
      <c r="C125">
        <v>2980.701693</v>
      </c>
    </row>
    <row r="126" spans="2:3" x14ac:dyDescent="0.3">
      <c r="B126" s="15">
        <v>86003</v>
      </c>
      <c r="C126">
        <v>86.542050000000003</v>
      </c>
    </row>
    <row r="127" spans="2:3" x14ac:dyDescent="0.3">
      <c r="B127" s="15">
        <v>86004</v>
      </c>
      <c r="C127">
        <v>402.129007</v>
      </c>
    </row>
    <row r="128" spans="2:3" x14ac:dyDescent="0.3">
      <c r="B128" s="15">
        <v>86009</v>
      </c>
      <c r="C128">
        <v>0</v>
      </c>
    </row>
    <row r="129" spans="2:3" x14ac:dyDescent="0.3">
      <c r="B129" s="15">
        <v>87000</v>
      </c>
      <c r="C129">
        <v>224.128905</v>
      </c>
    </row>
    <row r="130" spans="2:3" x14ac:dyDescent="0.3">
      <c r="B130" s="15">
        <v>88000</v>
      </c>
      <c r="C130">
        <v>445.51936499999999</v>
      </c>
    </row>
    <row r="131" spans="2:3" x14ac:dyDescent="0.3">
      <c r="B131" s="15">
        <v>90000</v>
      </c>
      <c r="C131">
        <v>0</v>
      </c>
    </row>
    <row r="132" spans="2:3" x14ac:dyDescent="0.3">
      <c r="B132" s="15">
        <v>93012</v>
      </c>
      <c r="C132">
        <v>586.93763799999999</v>
      </c>
    </row>
    <row r="133" spans="2:3" x14ac:dyDescent="0.3">
      <c r="B133" s="15">
        <v>94010</v>
      </c>
      <c r="C133">
        <v>126.544524</v>
      </c>
    </row>
    <row r="134" spans="2:3" x14ac:dyDescent="0.3">
      <c r="B134" s="15">
        <v>94020</v>
      </c>
      <c r="C134">
        <v>0</v>
      </c>
    </row>
    <row r="135" spans="2:3" x14ac:dyDescent="0.3">
      <c r="B135" s="15">
        <v>94091</v>
      </c>
      <c r="C135">
        <v>0</v>
      </c>
    </row>
    <row r="136" spans="2:3" x14ac:dyDescent="0.3">
      <c r="B136" s="15">
        <v>94099</v>
      </c>
      <c r="C136">
        <v>294.35259400000001</v>
      </c>
    </row>
    <row r="137" spans="2:3" x14ac:dyDescent="0.3">
      <c r="B137" s="15">
        <v>95010</v>
      </c>
      <c r="C137">
        <v>0</v>
      </c>
    </row>
    <row r="138" spans="2:3" x14ac:dyDescent="0.3">
      <c r="B138" s="15">
        <v>95030</v>
      </c>
      <c r="C138">
        <v>73.147406000000004</v>
      </c>
    </row>
    <row r="139" spans="2:3" x14ac:dyDescent="0.3">
      <c r="B139" s="15">
        <v>96020</v>
      </c>
      <c r="C139">
        <v>1727.9380080000001</v>
      </c>
    </row>
    <row r="140" spans="2:3" x14ac:dyDescent="0.3">
      <c r="B140" s="15">
        <v>96090</v>
      </c>
      <c r="C140">
        <v>0</v>
      </c>
    </row>
    <row r="141" spans="2:3" x14ac:dyDescent="0.3">
      <c r="B141" s="16">
        <v>97000</v>
      </c>
      <c r="C141">
        <v>4016.5572069999998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FD6F8-9FF7-462A-B82C-8736CC7AC80A}">
  <dimension ref="B2:C141"/>
  <sheetViews>
    <sheetView showGridLines="0" topLeftCell="A119" workbookViewId="0">
      <selection activeCell="C3" sqref="C3:C141"/>
    </sheetView>
  </sheetViews>
  <sheetFormatPr defaultRowHeight="14.4" x14ac:dyDescent="0.3"/>
  <sheetData>
    <row r="2" spans="2:3" x14ac:dyDescent="0.3">
      <c r="B2" s="15"/>
      <c r="C2" t="s">
        <v>332</v>
      </c>
    </row>
    <row r="3" spans="2:3" x14ac:dyDescent="0.3">
      <c r="B3" s="15">
        <v>1102</v>
      </c>
      <c r="C3">
        <v>149.18188000000001</v>
      </c>
    </row>
    <row r="4" spans="2:3" x14ac:dyDescent="0.3">
      <c r="B4" s="15">
        <v>1107</v>
      </c>
      <c r="C4">
        <v>316.77251000000001</v>
      </c>
    </row>
    <row r="5" spans="2:3" x14ac:dyDescent="0.3">
      <c r="B5" s="15">
        <v>1108</v>
      </c>
      <c r="C5">
        <v>465.89125999999999</v>
      </c>
    </row>
    <row r="6" spans="2:3" x14ac:dyDescent="0.3">
      <c r="B6" s="15">
        <v>1109</v>
      </c>
      <c r="C6">
        <v>357.6619</v>
      </c>
    </row>
    <row r="7" spans="2:3" x14ac:dyDescent="0.3">
      <c r="B7" s="15">
        <v>1110</v>
      </c>
      <c r="C7">
        <v>181.38862</v>
      </c>
    </row>
    <row r="8" spans="2:3" x14ac:dyDescent="0.3">
      <c r="B8" s="15">
        <v>1112</v>
      </c>
      <c r="C8">
        <v>0</v>
      </c>
    </row>
    <row r="9" spans="2:3" x14ac:dyDescent="0.3">
      <c r="B9" s="15">
        <v>1114</v>
      </c>
      <c r="C9">
        <v>0</v>
      </c>
    </row>
    <row r="10" spans="2:3" x14ac:dyDescent="0.3">
      <c r="B10" s="15">
        <v>1116</v>
      </c>
      <c r="C10">
        <v>1285.8081500000001</v>
      </c>
    </row>
    <row r="11" spans="2:3" x14ac:dyDescent="0.3">
      <c r="B11" s="15">
        <v>1117</v>
      </c>
      <c r="C11">
        <v>658.67080999999996</v>
      </c>
    </row>
    <row r="12" spans="2:3" x14ac:dyDescent="0.3">
      <c r="B12" s="15">
        <v>1201</v>
      </c>
      <c r="C12">
        <v>3311.36654</v>
      </c>
    </row>
    <row r="13" spans="2:3" x14ac:dyDescent="0.3">
      <c r="B13" s="15">
        <v>1202</v>
      </c>
      <c r="C13">
        <v>59.475050000000003</v>
      </c>
    </row>
    <row r="14" spans="2:3" x14ac:dyDescent="0.3">
      <c r="B14" s="15">
        <v>1204</v>
      </c>
      <c r="C14">
        <v>148.19057000000001</v>
      </c>
    </row>
    <row r="15" spans="2:3" x14ac:dyDescent="0.3">
      <c r="B15" s="15">
        <v>1205</v>
      </c>
      <c r="C15">
        <v>516.83110999999997</v>
      </c>
    </row>
    <row r="16" spans="2:3" x14ac:dyDescent="0.3">
      <c r="B16" s="15">
        <v>1401</v>
      </c>
      <c r="C16">
        <v>225.85851</v>
      </c>
    </row>
    <row r="17" spans="2:3" x14ac:dyDescent="0.3">
      <c r="B17" s="15">
        <v>1402</v>
      </c>
      <c r="C17">
        <v>12.24245</v>
      </c>
    </row>
    <row r="18" spans="2:3" x14ac:dyDescent="0.3">
      <c r="B18" s="15">
        <v>2000</v>
      </c>
      <c r="C18">
        <v>565.78494000000001</v>
      </c>
    </row>
    <row r="19" spans="2:3" x14ac:dyDescent="0.3">
      <c r="B19" s="15">
        <v>3001</v>
      </c>
      <c r="C19">
        <v>470.04955999999999</v>
      </c>
    </row>
    <row r="20" spans="2:3" x14ac:dyDescent="0.3">
      <c r="B20" s="15">
        <v>3002</v>
      </c>
      <c r="C20">
        <v>25.317119999999999</v>
      </c>
    </row>
    <row r="21" spans="2:3" x14ac:dyDescent="0.3">
      <c r="B21" s="15">
        <v>7001</v>
      </c>
      <c r="C21">
        <v>660.31178999999997</v>
      </c>
    </row>
    <row r="22" spans="2:3" x14ac:dyDescent="0.3">
      <c r="B22" s="15">
        <v>8001</v>
      </c>
      <c r="C22">
        <v>165.15074000000001</v>
      </c>
    </row>
    <row r="23" spans="2:3" x14ac:dyDescent="0.3">
      <c r="B23" s="15">
        <v>10010</v>
      </c>
      <c r="C23">
        <v>673.71550000000002</v>
      </c>
    </row>
    <row r="24" spans="2:3" x14ac:dyDescent="0.3">
      <c r="B24" s="15">
        <v>10022</v>
      </c>
      <c r="C24">
        <v>577.73635000000002</v>
      </c>
    </row>
    <row r="25" spans="2:3" x14ac:dyDescent="0.3">
      <c r="B25" s="15">
        <v>10030</v>
      </c>
      <c r="C25">
        <v>0</v>
      </c>
    </row>
    <row r="26" spans="2:3" x14ac:dyDescent="0.3">
      <c r="B26" s="15">
        <v>10091</v>
      </c>
      <c r="C26">
        <v>119.75206</v>
      </c>
    </row>
    <row r="27" spans="2:3" x14ac:dyDescent="0.3">
      <c r="B27" s="15">
        <v>10099</v>
      </c>
      <c r="C27">
        <v>0</v>
      </c>
    </row>
    <row r="28" spans="2:3" x14ac:dyDescent="0.3">
      <c r="B28" s="15">
        <v>11000</v>
      </c>
      <c r="C28">
        <v>132.41460000000001</v>
      </c>
    </row>
    <row r="29" spans="2:3" x14ac:dyDescent="0.3">
      <c r="B29" s="15">
        <v>13001</v>
      </c>
      <c r="C29">
        <v>0</v>
      </c>
    </row>
    <row r="30" spans="2:3" x14ac:dyDescent="0.3">
      <c r="B30" s="15">
        <v>13002</v>
      </c>
      <c r="C30">
        <v>109.05815</v>
      </c>
    </row>
    <row r="31" spans="2:3" x14ac:dyDescent="0.3">
      <c r="B31" s="15">
        <v>14001</v>
      </c>
      <c r="C31">
        <v>0</v>
      </c>
    </row>
    <row r="32" spans="2:3" x14ac:dyDescent="0.3">
      <c r="B32" s="15">
        <v>14002</v>
      </c>
      <c r="C32">
        <v>263.25159000000002</v>
      </c>
    </row>
    <row r="33" spans="2:3" x14ac:dyDescent="0.3">
      <c r="B33" s="15">
        <v>16001</v>
      </c>
      <c r="C33">
        <v>111.29085000000001</v>
      </c>
    </row>
    <row r="34" spans="2:3" x14ac:dyDescent="0.3">
      <c r="B34" s="15">
        <v>16002</v>
      </c>
      <c r="C34">
        <v>301.49617000000001</v>
      </c>
    </row>
    <row r="35" spans="2:3" x14ac:dyDescent="0.3">
      <c r="B35" s="15">
        <v>17002</v>
      </c>
      <c r="C35">
        <v>0</v>
      </c>
    </row>
    <row r="36" spans="2:3" x14ac:dyDescent="0.3">
      <c r="B36" s="15">
        <v>18000</v>
      </c>
      <c r="C36">
        <v>198.67811</v>
      </c>
    </row>
    <row r="37" spans="2:3" x14ac:dyDescent="0.3">
      <c r="B37" s="15">
        <v>22020</v>
      </c>
      <c r="C37">
        <v>0</v>
      </c>
    </row>
    <row r="38" spans="2:3" x14ac:dyDescent="0.3">
      <c r="B38" s="15">
        <v>23091</v>
      </c>
      <c r="C38">
        <v>436.99930999999998</v>
      </c>
    </row>
    <row r="39" spans="2:3" x14ac:dyDescent="0.3">
      <c r="B39" s="15">
        <v>23099</v>
      </c>
      <c r="C39">
        <v>214.47619</v>
      </c>
    </row>
    <row r="40" spans="2:3" x14ac:dyDescent="0.3">
      <c r="B40" s="15">
        <v>25001</v>
      </c>
      <c r="C40">
        <v>1021.25654</v>
      </c>
    </row>
    <row r="41" spans="2:3" x14ac:dyDescent="0.3">
      <c r="B41" s="15">
        <v>25002</v>
      </c>
      <c r="C41">
        <v>86.400069999999999</v>
      </c>
    </row>
    <row r="42" spans="2:3" x14ac:dyDescent="0.3">
      <c r="B42" s="15">
        <v>26010</v>
      </c>
      <c r="C42">
        <v>0</v>
      </c>
    </row>
    <row r="43" spans="2:3" x14ac:dyDescent="0.3">
      <c r="B43" s="15">
        <v>31000</v>
      </c>
      <c r="C43">
        <v>1036.6925699999999</v>
      </c>
    </row>
    <row r="44" spans="2:3" x14ac:dyDescent="0.3">
      <c r="B44" s="15">
        <v>32001</v>
      </c>
      <c r="C44">
        <v>0</v>
      </c>
    </row>
    <row r="45" spans="2:3" x14ac:dyDescent="0.3">
      <c r="B45" s="15">
        <v>32009</v>
      </c>
      <c r="C45">
        <v>0</v>
      </c>
    </row>
    <row r="46" spans="2:3" x14ac:dyDescent="0.3">
      <c r="B46" s="15">
        <v>33001</v>
      </c>
      <c r="C46">
        <v>93.197029999999998</v>
      </c>
    </row>
    <row r="47" spans="2:3" x14ac:dyDescent="0.3">
      <c r="B47" s="15">
        <v>33002</v>
      </c>
      <c r="C47">
        <v>94.814149999999998</v>
      </c>
    </row>
    <row r="48" spans="2:3" x14ac:dyDescent="0.3">
      <c r="B48" s="15">
        <v>35010</v>
      </c>
      <c r="C48">
        <v>683.82435999999996</v>
      </c>
    </row>
    <row r="49" spans="2:3" x14ac:dyDescent="0.3">
      <c r="B49" s="15">
        <v>36000</v>
      </c>
      <c r="C49">
        <v>0</v>
      </c>
    </row>
    <row r="50" spans="2:3" x14ac:dyDescent="0.3">
      <c r="B50" s="15">
        <v>38000</v>
      </c>
      <c r="C50">
        <v>249.95415</v>
      </c>
    </row>
    <row r="51" spans="2:3" x14ac:dyDescent="0.3">
      <c r="B51" s="15">
        <v>41000</v>
      </c>
      <c r="C51">
        <v>4993.0227599999998</v>
      </c>
    </row>
    <row r="52" spans="2:3" x14ac:dyDescent="0.3">
      <c r="B52" s="15">
        <v>42000</v>
      </c>
      <c r="C52">
        <v>1164.84761</v>
      </c>
    </row>
    <row r="53" spans="2:3" x14ac:dyDescent="0.3">
      <c r="B53" s="15">
        <v>43000</v>
      </c>
      <c r="C53">
        <v>2425.0673499999998</v>
      </c>
    </row>
    <row r="54" spans="2:3" x14ac:dyDescent="0.3">
      <c r="B54" s="15">
        <v>45010</v>
      </c>
      <c r="C54">
        <v>1280.6476299999999</v>
      </c>
    </row>
    <row r="55" spans="2:3" x14ac:dyDescent="0.3">
      <c r="B55" s="15">
        <v>45020</v>
      </c>
      <c r="C55">
        <v>3909.11994</v>
      </c>
    </row>
    <row r="56" spans="2:3" x14ac:dyDescent="0.3">
      <c r="B56" s="15">
        <v>45030</v>
      </c>
      <c r="C56">
        <v>718.19934999999998</v>
      </c>
    </row>
    <row r="57" spans="2:3" x14ac:dyDescent="0.3">
      <c r="B57" s="15">
        <v>45040</v>
      </c>
      <c r="C57">
        <v>777.71804999999995</v>
      </c>
    </row>
    <row r="58" spans="2:3" x14ac:dyDescent="0.3">
      <c r="B58" s="15">
        <v>48020</v>
      </c>
      <c r="C58">
        <v>521.27153999999996</v>
      </c>
    </row>
    <row r="59" spans="2:3" x14ac:dyDescent="0.3">
      <c r="B59" s="15">
        <v>48030</v>
      </c>
      <c r="C59">
        <v>6484.4235200000003</v>
      </c>
    </row>
    <row r="60" spans="2:3" x14ac:dyDescent="0.3">
      <c r="B60" s="15">
        <v>48041</v>
      </c>
      <c r="C60">
        <v>77.920699999999997</v>
      </c>
    </row>
    <row r="61" spans="2:3" x14ac:dyDescent="0.3">
      <c r="B61" s="15">
        <v>48042</v>
      </c>
      <c r="C61">
        <v>4336.6853600000004</v>
      </c>
    </row>
    <row r="62" spans="2:3" x14ac:dyDescent="0.3">
      <c r="B62" s="15">
        <v>48050</v>
      </c>
      <c r="C62">
        <v>3441.4972899999998</v>
      </c>
    </row>
    <row r="63" spans="2:3" x14ac:dyDescent="0.3">
      <c r="B63" s="15">
        <v>48060</v>
      </c>
      <c r="C63">
        <v>1478.90705</v>
      </c>
    </row>
    <row r="64" spans="2:3" x14ac:dyDescent="0.3">
      <c r="B64" s="15">
        <v>48071</v>
      </c>
      <c r="C64">
        <v>3162.6617200000001</v>
      </c>
    </row>
    <row r="65" spans="2:3" x14ac:dyDescent="0.3">
      <c r="B65" s="15">
        <v>48072</v>
      </c>
      <c r="C65">
        <v>468.06560999999999</v>
      </c>
    </row>
    <row r="66" spans="2:3" x14ac:dyDescent="0.3">
      <c r="B66" s="15">
        <v>48073</v>
      </c>
      <c r="C66">
        <v>1672.6751099999999</v>
      </c>
    </row>
    <row r="67" spans="2:3" x14ac:dyDescent="0.3">
      <c r="B67" s="15">
        <v>48074</v>
      </c>
      <c r="C67">
        <v>695.73139000000003</v>
      </c>
    </row>
    <row r="68" spans="2:3" x14ac:dyDescent="0.3">
      <c r="B68" s="15">
        <v>48075</v>
      </c>
      <c r="C68">
        <v>547.96906999999999</v>
      </c>
    </row>
    <row r="69" spans="2:3" x14ac:dyDescent="0.3">
      <c r="B69" s="15">
        <v>48076</v>
      </c>
      <c r="C69">
        <v>529.54627000000005</v>
      </c>
    </row>
    <row r="70" spans="2:3" x14ac:dyDescent="0.3">
      <c r="B70" s="15">
        <v>48078</v>
      </c>
      <c r="C70">
        <v>150.08391</v>
      </c>
    </row>
    <row r="71" spans="2:3" x14ac:dyDescent="0.3">
      <c r="B71" s="15">
        <v>48079</v>
      </c>
      <c r="C71">
        <v>893.83141000000001</v>
      </c>
    </row>
    <row r="72" spans="2:3" x14ac:dyDescent="0.3">
      <c r="B72" s="15">
        <v>48080</v>
      </c>
      <c r="C72">
        <v>7100.6127999999999</v>
      </c>
    </row>
    <row r="73" spans="2:3" x14ac:dyDescent="0.3">
      <c r="B73" s="15">
        <v>48090</v>
      </c>
      <c r="C73">
        <v>146.22239999999999</v>
      </c>
    </row>
    <row r="74" spans="2:3" x14ac:dyDescent="0.3">
      <c r="B74" s="15">
        <v>48100</v>
      </c>
      <c r="C74">
        <v>303.35655000000003</v>
      </c>
    </row>
    <row r="75" spans="2:3" x14ac:dyDescent="0.3">
      <c r="B75" s="15">
        <v>49030</v>
      </c>
      <c r="C75">
        <v>3462.9537399999999</v>
      </c>
    </row>
    <row r="76" spans="2:3" x14ac:dyDescent="0.3">
      <c r="B76" s="15">
        <v>49040</v>
      </c>
      <c r="C76">
        <v>2083.0313500000002</v>
      </c>
    </row>
    <row r="77" spans="2:3" x14ac:dyDescent="0.3">
      <c r="B77" s="15">
        <v>51000</v>
      </c>
      <c r="C77">
        <v>185.96782999999999</v>
      </c>
    </row>
    <row r="78" spans="2:3" x14ac:dyDescent="0.3">
      <c r="B78" s="15">
        <v>52010</v>
      </c>
      <c r="C78">
        <v>0</v>
      </c>
    </row>
    <row r="79" spans="2:3" x14ac:dyDescent="0.3">
      <c r="B79" s="15">
        <v>52020</v>
      </c>
      <c r="C79">
        <v>361.90485999999999</v>
      </c>
    </row>
    <row r="80" spans="2:3" x14ac:dyDescent="0.3">
      <c r="B80" s="15">
        <v>53001</v>
      </c>
      <c r="C80">
        <v>0</v>
      </c>
    </row>
    <row r="81" spans="2:3" x14ac:dyDescent="0.3">
      <c r="B81" s="15">
        <v>53002</v>
      </c>
      <c r="C81">
        <v>0</v>
      </c>
    </row>
    <row r="82" spans="2:3" x14ac:dyDescent="0.3">
      <c r="B82" s="15">
        <v>55000</v>
      </c>
      <c r="C82">
        <v>228.73952</v>
      </c>
    </row>
    <row r="83" spans="2:3" x14ac:dyDescent="0.3">
      <c r="B83" s="15">
        <v>56011</v>
      </c>
      <c r="C83">
        <v>6072.1375500000004</v>
      </c>
    </row>
    <row r="84" spans="2:3" x14ac:dyDescent="0.3">
      <c r="B84" s="15">
        <v>56012</v>
      </c>
      <c r="C84">
        <v>1061.2627299999999</v>
      </c>
    </row>
    <row r="85" spans="2:3" x14ac:dyDescent="0.3">
      <c r="B85" s="15">
        <v>56020</v>
      </c>
      <c r="C85">
        <v>743.49662999999998</v>
      </c>
    </row>
    <row r="86" spans="2:3" x14ac:dyDescent="0.3">
      <c r="B86" s="15">
        <v>58000</v>
      </c>
      <c r="C86">
        <v>0</v>
      </c>
    </row>
    <row r="87" spans="2:3" x14ac:dyDescent="0.3">
      <c r="B87" s="15">
        <v>60001</v>
      </c>
      <c r="C87">
        <v>117.30449</v>
      </c>
    </row>
    <row r="88" spans="2:3" x14ac:dyDescent="0.3">
      <c r="B88" s="15">
        <v>60002</v>
      </c>
      <c r="C88">
        <v>0</v>
      </c>
    </row>
    <row r="89" spans="2:3" x14ac:dyDescent="0.3">
      <c r="B89" s="15">
        <v>61000</v>
      </c>
      <c r="C89">
        <v>136.86994999999999</v>
      </c>
    </row>
    <row r="90" spans="2:3" x14ac:dyDescent="0.3">
      <c r="B90" s="15">
        <v>62000</v>
      </c>
      <c r="C90">
        <v>493.75128000000001</v>
      </c>
    </row>
    <row r="91" spans="2:3" x14ac:dyDescent="0.3">
      <c r="B91" s="15">
        <v>63000</v>
      </c>
      <c r="C91">
        <v>0</v>
      </c>
    </row>
    <row r="92" spans="2:3" x14ac:dyDescent="0.3">
      <c r="B92" s="15">
        <v>64000</v>
      </c>
      <c r="C92">
        <v>323.2389</v>
      </c>
    </row>
    <row r="93" spans="2:3" x14ac:dyDescent="0.3">
      <c r="B93" s="15">
        <v>65000</v>
      </c>
      <c r="C93">
        <v>119.95062</v>
      </c>
    </row>
    <row r="94" spans="2:3" x14ac:dyDescent="0.3">
      <c r="B94" s="15">
        <v>66002</v>
      </c>
      <c r="C94">
        <v>0</v>
      </c>
    </row>
    <row r="95" spans="2:3" x14ac:dyDescent="0.3">
      <c r="B95" s="15">
        <v>68000</v>
      </c>
      <c r="C95">
        <v>572.72191999999995</v>
      </c>
    </row>
    <row r="96" spans="2:3" x14ac:dyDescent="0.3">
      <c r="B96" s="15">
        <v>69000</v>
      </c>
      <c r="C96">
        <v>1880.50701</v>
      </c>
    </row>
    <row r="97" spans="2:3" x14ac:dyDescent="0.3">
      <c r="B97" s="15">
        <v>70000</v>
      </c>
      <c r="C97">
        <v>335.92862000000002</v>
      </c>
    </row>
    <row r="98" spans="2:3" x14ac:dyDescent="0.3">
      <c r="B98" s="15">
        <v>71000</v>
      </c>
      <c r="C98">
        <v>187.23557</v>
      </c>
    </row>
    <row r="99" spans="2:3" x14ac:dyDescent="0.3">
      <c r="B99" s="15">
        <v>72000</v>
      </c>
      <c r="C99">
        <v>0</v>
      </c>
    </row>
    <row r="100" spans="2:3" x14ac:dyDescent="0.3">
      <c r="B100" s="15">
        <v>73010</v>
      </c>
      <c r="C100">
        <v>210.27394000000001</v>
      </c>
    </row>
    <row r="101" spans="2:3" x14ac:dyDescent="0.3">
      <c r="B101" s="15">
        <v>74000</v>
      </c>
      <c r="C101">
        <v>327.61227000000002</v>
      </c>
    </row>
    <row r="102" spans="2:3" x14ac:dyDescent="0.3">
      <c r="B102" s="15">
        <v>75000</v>
      </c>
      <c r="C102">
        <v>171.79258999999999</v>
      </c>
    </row>
    <row r="103" spans="2:3" x14ac:dyDescent="0.3">
      <c r="B103" s="15">
        <v>77010</v>
      </c>
      <c r="C103">
        <v>159.65459999999999</v>
      </c>
    </row>
    <row r="104" spans="2:3" x14ac:dyDescent="0.3">
      <c r="B104" s="15">
        <v>78000</v>
      </c>
      <c r="C104">
        <v>1778.65572</v>
      </c>
    </row>
    <row r="105" spans="2:3" x14ac:dyDescent="0.3">
      <c r="B105" s="15">
        <v>80000</v>
      </c>
      <c r="C105">
        <v>442.78861000000001</v>
      </c>
    </row>
    <row r="106" spans="2:3" x14ac:dyDescent="0.3">
      <c r="B106" s="15">
        <v>81011</v>
      </c>
      <c r="C106">
        <v>1570.1505400000001</v>
      </c>
    </row>
    <row r="107" spans="2:3" x14ac:dyDescent="0.3">
      <c r="B107" s="15">
        <v>81020</v>
      </c>
      <c r="C107">
        <v>57.973179999999999</v>
      </c>
    </row>
    <row r="108" spans="2:3" x14ac:dyDescent="0.3">
      <c r="B108" s="15">
        <v>82003</v>
      </c>
      <c r="C108">
        <v>282.1694</v>
      </c>
    </row>
    <row r="109" spans="2:3" x14ac:dyDescent="0.3">
      <c r="B109" s="15">
        <v>82009</v>
      </c>
      <c r="C109">
        <v>91.612729999999999</v>
      </c>
    </row>
    <row r="110" spans="2:3" x14ac:dyDescent="0.3">
      <c r="B110" s="15">
        <v>84011</v>
      </c>
      <c r="C110">
        <v>70.203569999999999</v>
      </c>
    </row>
    <row r="111" spans="2:3" x14ac:dyDescent="0.3">
      <c r="B111" s="15">
        <v>84012</v>
      </c>
      <c r="C111">
        <v>943.98481000000004</v>
      </c>
    </row>
    <row r="112" spans="2:3" x14ac:dyDescent="0.3">
      <c r="B112" s="15">
        <v>84013</v>
      </c>
      <c r="C112">
        <v>530.57205999999996</v>
      </c>
    </row>
    <row r="113" spans="2:3" x14ac:dyDescent="0.3">
      <c r="B113" s="15">
        <v>84014</v>
      </c>
      <c r="C113">
        <v>2954.99586</v>
      </c>
    </row>
    <row r="114" spans="2:3" x14ac:dyDescent="0.3">
      <c r="B114" s="15">
        <v>84015</v>
      </c>
      <c r="C114">
        <v>0</v>
      </c>
    </row>
    <row r="115" spans="2:3" x14ac:dyDescent="0.3">
      <c r="B115" s="15">
        <v>84016</v>
      </c>
      <c r="C115">
        <v>2881.9308900000001</v>
      </c>
    </row>
    <row r="116" spans="2:3" x14ac:dyDescent="0.3">
      <c r="B116" s="15">
        <v>84017</v>
      </c>
      <c r="C116">
        <v>115.66919</v>
      </c>
    </row>
    <row r="117" spans="2:3" x14ac:dyDescent="0.3">
      <c r="B117" s="15">
        <v>84020</v>
      </c>
      <c r="C117">
        <v>0</v>
      </c>
    </row>
    <row r="118" spans="2:3" x14ac:dyDescent="0.3">
      <c r="B118" s="15">
        <v>85011</v>
      </c>
      <c r="C118">
        <v>0</v>
      </c>
    </row>
    <row r="119" spans="2:3" x14ac:dyDescent="0.3">
      <c r="B119" s="15">
        <v>85012</v>
      </c>
      <c r="C119">
        <v>2214.2602900000002</v>
      </c>
    </row>
    <row r="120" spans="2:3" x14ac:dyDescent="0.3">
      <c r="B120" s="15">
        <v>85013</v>
      </c>
      <c r="C120">
        <v>735.41471000000001</v>
      </c>
    </row>
    <row r="121" spans="2:3" x14ac:dyDescent="0.3">
      <c r="B121" s="15">
        <v>85014</v>
      </c>
      <c r="C121">
        <v>199.20218</v>
      </c>
    </row>
    <row r="122" spans="2:3" x14ac:dyDescent="0.3">
      <c r="B122" s="15">
        <v>85021</v>
      </c>
      <c r="C122">
        <v>0</v>
      </c>
    </row>
    <row r="123" spans="2:3" x14ac:dyDescent="0.3">
      <c r="B123" s="15">
        <v>85029</v>
      </c>
      <c r="C123">
        <v>501.76405999999997</v>
      </c>
    </row>
    <row r="124" spans="2:3" x14ac:dyDescent="0.3">
      <c r="B124" s="15">
        <v>86001</v>
      </c>
      <c r="C124">
        <v>1978.9294600000001</v>
      </c>
    </row>
    <row r="125" spans="2:3" x14ac:dyDescent="0.3">
      <c r="B125" s="15">
        <v>86002</v>
      </c>
      <c r="C125">
        <v>1757.26766</v>
      </c>
    </row>
    <row r="126" spans="2:3" x14ac:dyDescent="0.3">
      <c r="B126" s="15">
        <v>86003</v>
      </c>
      <c r="C126">
        <v>274.16072000000003</v>
      </c>
    </row>
    <row r="127" spans="2:3" x14ac:dyDescent="0.3">
      <c r="B127" s="15">
        <v>86004</v>
      </c>
      <c r="C127">
        <v>348.07333</v>
      </c>
    </row>
    <row r="128" spans="2:3" x14ac:dyDescent="0.3">
      <c r="B128" s="15">
        <v>86009</v>
      </c>
      <c r="C128">
        <v>0</v>
      </c>
    </row>
    <row r="129" spans="2:3" x14ac:dyDescent="0.3">
      <c r="B129" s="15">
        <v>87000</v>
      </c>
      <c r="C129">
        <v>90.072659999999999</v>
      </c>
    </row>
    <row r="130" spans="2:3" x14ac:dyDescent="0.3">
      <c r="B130" s="15">
        <v>88000</v>
      </c>
      <c r="C130">
        <v>126.52486</v>
      </c>
    </row>
    <row r="131" spans="2:3" x14ac:dyDescent="0.3">
      <c r="B131" s="15">
        <v>90000</v>
      </c>
      <c r="C131">
        <v>0</v>
      </c>
    </row>
    <row r="132" spans="2:3" x14ac:dyDescent="0.3">
      <c r="B132" s="15">
        <v>93012</v>
      </c>
      <c r="C132">
        <v>173.96951000000001</v>
      </c>
    </row>
    <row r="133" spans="2:3" x14ac:dyDescent="0.3">
      <c r="B133" s="15">
        <v>94010</v>
      </c>
      <c r="C133">
        <v>0</v>
      </c>
    </row>
    <row r="134" spans="2:3" x14ac:dyDescent="0.3">
      <c r="B134" s="15">
        <v>94020</v>
      </c>
      <c r="C134">
        <v>0</v>
      </c>
    </row>
    <row r="135" spans="2:3" x14ac:dyDescent="0.3">
      <c r="B135" s="15">
        <v>94091</v>
      </c>
      <c r="C135">
        <v>424.83188999999999</v>
      </c>
    </row>
    <row r="136" spans="2:3" x14ac:dyDescent="0.3">
      <c r="B136" s="15">
        <v>94099</v>
      </c>
      <c r="C136">
        <v>0</v>
      </c>
    </row>
    <row r="137" spans="2:3" x14ac:dyDescent="0.3">
      <c r="B137" s="15">
        <v>95010</v>
      </c>
      <c r="C137">
        <v>627.87207000000001</v>
      </c>
    </row>
    <row r="138" spans="2:3" x14ac:dyDescent="0.3">
      <c r="B138" s="15">
        <v>95030</v>
      </c>
      <c r="C138">
        <v>1190.55583</v>
      </c>
    </row>
    <row r="139" spans="2:3" x14ac:dyDescent="0.3">
      <c r="B139" s="15">
        <v>96020</v>
      </c>
      <c r="C139">
        <v>1551.2209</v>
      </c>
    </row>
    <row r="140" spans="2:3" x14ac:dyDescent="0.3">
      <c r="B140" s="15">
        <v>96090</v>
      </c>
      <c r="C140">
        <v>93.197029999999998</v>
      </c>
    </row>
    <row r="141" spans="2:3" x14ac:dyDescent="0.3">
      <c r="B141" s="16">
        <v>97000</v>
      </c>
      <c r="C141">
        <v>3138.7932999999998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 iniciais</vt:lpstr>
      <vt:lpstr>Planilha1</vt:lpstr>
      <vt:lpstr>Planilha3</vt:lpstr>
      <vt:lpstr>Planilha4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Cesar de Lima e Silva</dc:creator>
  <cp:lastModifiedBy>Yuri Cesar de Lima e Silva</cp:lastModifiedBy>
  <dcterms:created xsi:type="dcterms:W3CDTF">2026-02-15T15:20:53Z</dcterms:created>
  <dcterms:modified xsi:type="dcterms:W3CDTF">2026-02-18T00:46:13Z</dcterms:modified>
</cp:coreProperties>
</file>